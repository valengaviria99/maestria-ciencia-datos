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28"/>
  <workbookPr/>
  <mc:AlternateContent xmlns:mc="http://schemas.openxmlformats.org/markup-compatibility/2006">
    <mc:Choice Requires="x15">
      <x15ac:absPath xmlns:x15ac="http://schemas.microsoft.com/office/spreadsheetml/2010/11/ac" url="https://icesiedu-my.sharepoint.com/personal/1116282909_icesi_edu_co/Documents/Escritorio/Maestría en Ciencia de Datos/Semestre2/Analitica prescriptiva/Taller 2/"/>
    </mc:Choice>
  </mc:AlternateContent>
  <xr:revisionPtr revIDLastSave="2029" documentId="11_AD4D2F04E46CFB4ACB3E20427511C730683EDF23" xr6:coauthVersionLast="47" xr6:coauthVersionMax="47" xr10:uidLastSave="{E0D4127C-B55D-4737-8714-928742BB92DB}"/>
  <bookViews>
    <workbookView xWindow="38280" yWindow="4515" windowWidth="29040" windowHeight="15720" activeTab="3" xr2:uid="{00000000-000D-0000-FFFF-FFFF00000000}"/>
  </bookViews>
  <sheets>
    <sheet name="Ejercicio_1" sheetId="3" r:id="rId1"/>
    <sheet name="Ejercicio 2" sheetId="4" r:id="rId2"/>
    <sheet name="Ejercicio 3" sheetId="5" r:id="rId3"/>
    <sheet name="Ejercicio 4" sheetId="6" r:id="rId4"/>
  </sheets>
  <definedNames>
    <definedName name="solver_adj" localSheetId="1" hidden="1">'Ejercicio 2'!$B$3:$F$3</definedName>
    <definedName name="solver_adj" localSheetId="2" hidden="1">'Ejercicio 3'!$C$4:$J$4</definedName>
    <definedName name="solver_adj" localSheetId="0" hidden="1">Ejercicio_1!$E$6:$E$12,Ejercicio_1!$F$6:$F$12</definedName>
    <definedName name="solver_cvg" localSheetId="1" hidden="1">0.0001</definedName>
    <definedName name="solver_cvg" localSheetId="2" hidden="1">0.0001</definedName>
    <definedName name="solver_cvg" localSheetId="0" hidden="1">0.0001</definedName>
    <definedName name="solver_drv" localSheetId="1" hidden="1">1</definedName>
    <definedName name="solver_drv" localSheetId="2" hidden="1">1</definedName>
    <definedName name="solver_drv" localSheetId="0" hidden="1">1</definedName>
    <definedName name="solver_eng" localSheetId="1" hidden="1">2</definedName>
    <definedName name="solver_eng" localSheetId="2" hidden="1">2</definedName>
    <definedName name="solver_eng" localSheetId="0" hidden="1">2</definedName>
    <definedName name="solver_est" localSheetId="1" hidden="1">1</definedName>
    <definedName name="solver_est" localSheetId="2" hidden="1">1</definedName>
    <definedName name="solver_est" localSheetId="0" hidden="1">1</definedName>
    <definedName name="solver_itr" localSheetId="1" hidden="1">2147483647</definedName>
    <definedName name="solver_itr" localSheetId="2" hidden="1">2147483647</definedName>
    <definedName name="solver_itr" localSheetId="0" hidden="1">2147483647</definedName>
    <definedName name="solver_lhs1" localSheetId="1" hidden="1">'Ejercicio 2'!$B$3:$F$3</definedName>
    <definedName name="solver_lhs1" localSheetId="2" hidden="1">'Ejercicio 3'!$C$13:$C$16</definedName>
    <definedName name="solver_lhs1" localSheetId="0" hidden="1">Ejercicio_1!$E$6:$E$12</definedName>
    <definedName name="solver_lhs2" localSheetId="1" hidden="1">'Ejercicio 2'!$G$5:$G$8</definedName>
    <definedName name="solver_lhs2" localSheetId="2" hidden="1">'Ejercicio 3'!$C$15</definedName>
    <definedName name="solver_lhs2" localSheetId="0" hidden="1">Ejercicio_1!$I$7</definedName>
    <definedName name="solver_lhs3" localSheetId="2" hidden="1">'Ejercicio 3'!$C$17</definedName>
    <definedName name="solver_lhs3" localSheetId="0" hidden="1">Ejercicio_1!$I$8:$I$15</definedName>
    <definedName name="solver_lhs4" localSheetId="2" hidden="1">'Ejercicio 3'!$C$18</definedName>
    <definedName name="solver_lhs5" localSheetId="2" hidden="1">'Ejercicio 3'!$C$22:$J$22</definedName>
    <definedName name="solver_lhs6" localSheetId="2" hidden="1">'Ejercicio 3'!$C$4:$J$4</definedName>
    <definedName name="solver_lhs7" localSheetId="2" hidden="1">'Ejercicio 3'!$C$19</definedName>
    <definedName name="solver_lhs8" localSheetId="2" hidden="1">'Ejercicio 3'!$C$11:$C$12</definedName>
    <definedName name="solver_mip" localSheetId="1" hidden="1">2147483647</definedName>
    <definedName name="solver_mip" localSheetId="2" hidden="1">2147483647</definedName>
    <definedName name="solver_mip" localSheetId="0" hidden="1">2147483647</definedName>
    <definedName name="solver_mni" localSheetId="1" hidden="1">30</definedName>
    <definedName name="solver_mni" localSheetId="2" hidden="1">30</definedName>
    <definedName name="solver_mni" localSheetId="0" hidden="1">30</definedName>
    <definedName name="solver_mrt" localSheetId="1" hidden="1">0.075</definedName>
    <definedName name="solver_mrt" localSheetId="2" hidden="1">0.075</definedName>
    <definedName name="solver_mrt" localSheetId="0" hidden="1">0.075</definedName>
    <definedName name="solver_msl" localSheetId="1" hidden="1">2</definedName>
    <definedName name="solver_msl" localSheetId="2" hidden="1">2</definedName>
    <definedName name="solver_msl" localSheetId="0" hidden="1">2</definedName>
    <definedName name="solver_neg" localSheetId="1" hidden="1">1</definedName>
    <definedName name="solver_neg" localSheetId="2" hidden="1">1</definedName>
    <definedName name="solver_neg" localSheetId="0" hidden="1">1</definedName>
    <definedName name="solver_nod" localSheetId="1" hidden="1">2147483647</definedName>
    <definedName name="solver_nod" localSheetId="2" hidden="1">2147483647</definedName>
    <definedName name="solver_nod" localSheetId="0" hidden="1">2147483647</definedName>
    <definedName name="solver_num" localSheetId="1" hidden="1">2</definedName>
    <definedName name="solver_num" localSheetId="2" hidden="1">8</definedName>
    <definedName name="solver_num" localSheetId="0" hidden="1">3</definedName>
    <definedName name="solver_nwt" localSheetId="1" hidden="1">1</definedName>
    <definedName name="solver_nwt" localSheetId="2" hidden="1">1</definedName>
    <definedName name="solver_nwt" localSheetId="0" hidden="1">1</definedName>
    <definedName name="solver_opt" localSheetId="1" hidden="1">'Ejercicio 2'!$G$4</definedName>
    <definedName name="solver_opt" localSheetId="2" hidden="1">'Ejercicio 3'!$K$4</definedName>
    <definedName name="solver_opt" localSheetId="0" hidden="1">Ejercicio_1!$H$6</definedName>
    <definedName name="solver_pre" localSheetId="1" hidden="1">0.000001</definedName>
    <definedName name="solver_pre" localSheetId="2" hidden="1">0.000001</definedName>
    <definedName name="solver_pre" localSheetId="0" hidden="1">0.000001</definedName>
    <definedName name="solver_rbv" localSheetId="1" hidden="1">1</definedName>
    <definedName name="solver_rbv" localSheetId="2" hidden="1">1</definedName>
    <definedName name="solver_rbv" localSheetId="0" hidden="1">1</definedName>
    <definedName name="solver_rel1" localSheetId="1" hidden="1">5</definedName>
    <definedName name="solver_rel1" localSheetId="2" hidden="1">3</definedName>
    <definedName name="solver_rel1" localSheetId="0" hidden="1">5</definedName>
    <definedName name="solver_rel2" localSheetId="1" hidden="1">1</definedName>
    <definedName name="solver_rel2" localSheetId="2" hidden="1">2</definedName>
    <definedName name="solver_rel2" localSheetId="0" hidden="1">2</definedName>
    <definedName name="solver_rel3" localSheetId="2" hidden="1">1</definedName>
    <definedName name="solver_rel3" localSheetId="0" hidden="1">1</definedName>
    <definedName name="solver_rel4" localSheetId="2" hidden="1">3</definedName>
    <definedName name="solver_rel5" localSheetId="2" hidden="1">2</definedName>
    <definedName name="solver_rel6" localSheetId="2" hidden="1">5</definedName>
    <definedName name="solver_rel7" localSheetId="2" hidden="1">1</definedName>
    <definedName name="solver_rel8" localSheetId="2" hidden="1">2</definedName>
    <definedName name="solver_rhs1" localSheetId="1" hidden="1">"binary"</definedName>
    <definedName name="solver_rhs1" localSheetId="2" hidden="1">'Ejercicio 3'!$E$13:$E$16</definedName>
    <definedName name="solver_rhs1" localSheetId="0" hidden="1">"binary"</definedName>
    <definedName name="solver_rhs2" localSheetId="1" hidden="1">'Ejercicio 2'!$I$5:$I$8</definedName>
    <definedName name="solver_rhs2" localSheetId="2" hidden="1">'Ejercicio 3'!$E$15</definedName>
    <definedName name="solver_rhs2" localSheetId="0" hidden="1">Ejercicio_1!$K$7</definedName>
    <definedName name="solver_rhs3" localSheetId="2" hidden="1">'Ejercicio 3'!$E$17</definedName>
    <definedName name="solver_rhs3" localSheetId="0" hidden="1">Ejercicio_1!$K$8:$K$15</definedName>
    <definedName name="solver_rhs4" localSheetId="2" hidden="1">'Ejercicio 3'!$E$18</definedName>
    <definedName name="solver_rhs5" localSheetId="2" hidden="1">'Ejercicio 3'!$C$24:$J$24</definedName>
    <definedName name="solver_rhs6" localSheetId="2" hidden="1">"binario"</definedName>
    <definedName name="solver_rhs7" localSheetId="2" hidden="1">'Ejercicio 3'!$E$19</definedName>
    <definedName name="solver_rhs8" localSheetId="2" hidden="1">'Ejercicio 3'!$E$11:$E$12</definedName>
    <definedName name="solver_rlx" localSheetId="1" hidden="1">2</definedName>
    <definedName name="solver_rlx" localSheetId="2" hidden="1">2</definedName>
    <definedName name="solver_rlx" localSheetId="0" hidden="1">2</definedName>
    <definedName name="solver_rsd" localSheetId="1" hidden="1">0</definedName>
    <definedName name="solver_rsd" localSheetId="2" hidden="1">0</definedName>
    <definedName name="solver_rsd" localSheetId="0" hidden="1">0</definedName>
    <definedName name="solver_scl" localSheetId="1" hidden="1">1</definedName>
    <definedName name="solver_scl" localSheetId="2" hidden="1">1</definedName>
    <definedName name="solver_scl" localSheetId="0" hidden="1">1</definedName>
    <definedName name="solver_sho" localSheetId="1" hidden="1">2</definedName>
    <definedName name="solver_sho" localSheetId="2" hidden="1">2</definedName>
    <definedName name="solver_sho" localSheetId="0" hidden="1">2</definedName>
    <definedName name="solver_ssz" localSheetId="1" hidden="1">100</definedName>
    <definedName name="solver_ssz" localSheetId="2" hidden="1">100</definedName>
    <definedName name="solver_ssz" localSheetId="0" hidden="1">100</definedName>
    <definedName name="solver_tim" localSheetId="1" hidden="1">2147483647</definedName>
    <definedName name="solver_tim" localSheetId="2" hidden="1">2147483647</definedName>
    <definedName name="solver_tim" localSheetId="0" hidden="1">2147483647</definedName>
    <definedName name="solver_tol" localSheetId="1" hidden="1">0.01</definedName>
    <definedName name="solver_tol" localSheetId="2" hidden="1">0.01</definedName>
    <definedName name="solver_tol" localSheetId="0" hidden="1">0.01</definedName>
    <definedName name="solver_typ" localSheetId="1" hidden="1">1</definedName>
    <definedName name="solver_typ" localSheetId="2" hidden="1">3</definedName>
    <definedName name="solver_typ" localSheetId="0" hidden="1">2</definedName>
    <definedName name="solver_val" localSheetId="1" hidden="1">0</definedName>
    <definedName name="solver_val" localSheetId="2" hidden="1">0</definedName>
    <definedName name="solver_val" localSheetId="0" hidden="1">0</definedName>
    <definedName name="solver_ver" localSheetId="1" hidden="1">3</definedName>
    <definedName name="solver_ver" localSheetId="2" hidden="1">3</definedName>
    <definedName name="solver_ver" localSheetId="0" hidden="1">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" i="3" l="1"/>
  <c r="I15" i="3"/>
  <c r="I9" i="3"/>
  <c r="I10" i="3"/>
  <c r="I11" i="3"/>
  <c r="I12" i="3"/>
  <c r="I13" i="3"/>
  <c r="I14" i="3"/>
  <c r="I7" i="3"/>
  <c r="K7" i="3"/>
  <c r="H6" i="3"/>
  <c r="C16" i="5"/>
  <c r="C11" i="5"/>
  <c r="C15" i="5"/>
  <c r="K4" i="5"/>
  <c r="C17" i="5"/>
  <c r="C14" i="5"/>
  <c r="C13" i="5"/>
  <c r="D5" i="5"/>
  <c r="D22" i="5" s="1"/>
  <c r="E5" i="5"/>
  <c r="E22" i="5" s="1"/>
  <c r="F5" i="5"/>
  <c r="F22" i="5" s="1"/>
  <c r="G5" i="5"/>
  <c r="G22" i="5" s="1"/>
  <c r="H5" i="5"/>
  <c r="H22" i="5" s="1"/>
  <c r="I5" i="5"/>
  <c r="I22" i="5" s="1"/>
  <c r="J5" i="5"/>
  <c r="J22" i="5" s="1"/>
  <c r="C5" i="5"/>
  <c r="G5" i="4"/>
  <c r="G6" i="4"/>
  <c r="G7" i="4"/>
  <c r="G8" i="4"/>
  <c r="G4" i="4"/>
  <c r="C12" i="5" l="1"/>
  <c r="C19" i="5"/>
  <c r="C22" i="5"/>
  <c r="C18" i="5"/>
</calcChain>
</file>

<file path=xl/sharedStrings.xml><?xml version="1.0" encoding="utf-8"?>
<sst xmlns="http://schemas.openxmlformats.org/spreadsheetml/2006/main" count="152" uniqueCount="108">
  <si>
    <t xml:space="preserve">Caso: series de televisión </t>
  </si>
  <si>
    <t>Serie (i)</t>
  </si>
  <si>
    <t xml:space="preserve">Ci </t>
  </si>
  <si>
    <t>COi ($/hora)</t>
  </si>
  <si>
    <t>Yi (compra =1,0 lo contrario)</t>
  </si>
  <si>
    <t>Xi (horas)</t>
  </si>
  <si>
    <t>Minimizar Z</t>
  </si>
  <si>
    <t>House of the Dragon (1)</t>
  </si>
  <si>
    <t>Peaky Blinders (2)</t>
  </si>
  <si>
    <t xml:space="preserve">Horas totales disponibles </t>
  </si>
  <si>
    <t>=</t>
  </si>
  <si>
    <t>Homeland (3)</t>
  </si>
  <si>
    <t>Limite de horas por serie i1 comprada</t>
  </si>
  <si>
    <t>&lt;=</t>
  </si>
  <si>
    <t>Dahmer (4)</t>
  </si>
  <si>
    <t>Limite de horas por serie i2 comprada</t>
  </si>
  <si>
    <t>Breaking Bad (5)</t>
  </si>
  <si>
    <t>Limite de horas por serie i3 comprada</t>
  </si>
  <si>
    <t>Stranger Things (6)</t>
  </si>
  <si>
    <t>Limite de horas por serie i4 comprada</t>
  </si>
  <si>
    <t>Dexter (7)</t>
  </si>
  <si>
    <t>Limite de horas por serie i5 comprada</t>
  </si>
  <si>
    <t>Limite de horas por serie i6 comprada</t>
  </si>
  <si>
    <t>D (total de horas disponibles)</t>
  </si>
  <si>
    <t>Limite de horas por serie i7 comprada</t>
  </si>
  <si>
    <t>HX (horas máximas por serie)</t>
  </si>
  <si>
    <t>Dahmer + Stranger Things no ver juntas</t>
  </si>
  <si>
    <t>Concepto</t>
  </si>
  <si>
    <t>RS</t>
  </si>
  <si>
    <t>BS</t>
  </si>
  <si>
    <t>DE</t>
  </si>
  <si>
    <t>ST</t>
  </si>
  <si>
    <t>TS</t>
  </si>
  <si>
    <t>Fórmula</t>
  </si>
  <si>
    <t>Signo</t>
  </si>
  <si>
    <t>Restricción</t>
  </si>
  <si>
    <t>Variable de decisión</t>
  </si>
  <si>
    <t>Victorias agregadas</t>
  </si>
  <si>
    <t>Max</t>
  </si>
  <si>
    <t>Costo en millones</t>
  </si>
  <si>
    <t>DE y ST entonces no BS</t>
  </si>
  <si>
    <t>Lanzadores derechos</t>
  </si>
  <si>
    <t>No contratar BS y RS juntos</t>
  </si>
  <si>
    <t>Caso: Albúm Shakira</t>
  </si>
  <si>
    <t>Canciones</t>
  </si>
  <si>
    <t>Parte 1</t>
  </si>
  <si>
    <t>Parte 2</t>
  </si>
  <si>
    <t>Balada</t>
  </si>
  <si>
    <t>Hit</t>
  </si>
  <si>
    <t>Duración</t>
  </si>
  <si>
    <t>Restricciones</t>
  </si>
  <si>
    <t>Parte 1, 2 baladas</t>
  </si>
  <si>
    <t>Parte 2, 2 baladas</t>
  </si>
  <si>
    <t>Parte 1, al menos 3 hit</t>
  </si>
  <si>
    <t>&gt;=</t>
  </si>
  <si>
    <t>Canción 5 o 6 en parte 1</t>
  </si>
  <si>
    <t>Canciones 2 y 4 en parte 1, entonces canción 5 en parte 2</t>
  </si>
  <si>
    <t>Duración parte 1</t>
  </si>
  <si>
    <t>Duración parte 2</t>
  </si>
  <si>
    <t>Cada canción debe estar en una parte</t>
  </si>
  <si>
    <t>Súper  (X₁,J)</t>
  </si>
  <si>
    <t>Regular  (X₂,J)</t>
  </si>
  <si>
    <t>Sin Plomo  (X₃,J)</t>
  </si>
  <si>
    <t>Escasez  Fᵢ</t>
  </si>
  <si>
    <t>MIN Z ($)</t>
  </si>
  <si>
    <t>X₁,1
(2,700 gal)</t>
  </si>
  <si>
    <t>X₁,2
(2,800 gal)</t>
  </si>
  <si>
    <t>X₁,3
(1,100 gal)</t>
  </si>
  <si>
    <t>X₁,4
(1,800 gal)</t>
  </si>
  <si>
    <t>X₁,5
(3,400 gal)</t>
  </si>
  <si>
    <t>X₂,1
(2,700 gal)</t>
  </si>
  <si>
    <t>X₂,2
(2,800 gal)</t>
  </si>
  <si>
    <t>X₂,3
(1,100 gal)</t>
  </si>
  <si>
    <t>X₂,4
(1,800 gal)</t>
  </si>
  <si>
    <t>X₂,5
(3,400 gal)</t>
  </si>
  <si>
    <t>X₃,1
(2,700 gal)</t>
  </si>
  <si>
    <t>X₃,2
(2,800 gal)</t>
  </si>
  <si>
    <t>X₃,3
(1,100 gal)</t>
  </si>
  <si>
    <t>X₃,4
(1,800 gal)</t>
  </si>
  <si>
    <t>X₃,5
(3,400 gal)</t>
  </si>
  <si>
    <t>F₁
Súper</t>
  </si>
  <si>
    <t>F₂
Regular</t>
  </si>
  <si>
    <t>F₃
Sin Plomo</t>
  </si>
  <si>
    <t>Costo
Mínimo</t>
  </si>
  <si>
    <t>Variables</t>
  </si>
  <si>
    <t>Parámetros</t>
  </si>
  <si>
    <t>D₁ = 2,900 gal  |  P₁ = $10  |  S₁ = 500</t>
  </si>
  <si>
    <t>D₂ = 4,000 gal  |  P₂ = $8  |  S₂ = 500</t>
  </si>
  <si>
    <t>D₃ = 4,900 gal  |  P₃ = $6  |  S₃ = 500</t>
  </si>
  <si>
    <t>Comp. J=1 (2,700 gal): X₁,1+X₂,1+X₃,1</t>
  </si>
  <si>
    <t>R1 - Cada compartimiento J asignado a máx. 1 combustible</t>
  </si>
  <si>
    <t>Comp. J=2 (2,800 gal): X₁,2+X₂,2+X₃,2</t>
  </si>
  <si>
    <t>Comp. J=3 (1,100 gal): X₁,3+X₂,3+X₃,3</t>
  </si>
  <si>
    <t>Comp. J=4 (1,800 gal): X₁,4+X₂,4+X₃,4</t>
  </si>
  <si>
    <t>Comp. J=5 (3,400 gal): X₁,5+X₂,5+X₃,5</t>
  </si>
  <si>
    <t>Súper:  Σⱼ X₁,J·CJ + F₁ ≥ D₁=2,900</t>
  </si>
  <si>
    <t>R2 - Balance oferta–demanda con déficit</t>
  </si>
  <si>
    <t>Regular:  Σⱼ X₂,J·CJ + F₂ ≥ D₂=4,000</t>
  </si>
  <si>
    <t>Sin Plomo:  Σⱼ X₃,J·CJ + F₃ ≥ D₃=4,900</t>
  </si>
  <si>
    <t>F₁ ≤ S₁=500  (Súper)</t>
  </si>
  <si>
    <t>R3 - Escasez no supera el máximo permitido</t>
  </si>
  <si>
    <t>F₂ ≤ S₂=500  (Regular)</t>
  </si>
  <si>
    <t>F₃ ≤ S₃=500  (Sin Plomo)</t>
  </si>
  <si>
    <t>F₁ ≥ 0  (Súper)</t>
  </si>
  <si>
    <t>R4 - No negatividad</t>
  </si>
  <si>
    <t>F₂ ≥ 0  (Regular)</t>
  </si>
  <si>
    <t>F₃ ≥ 0  (Sin Plomo)</t>
  </si>
  <si>
    <t xml:space="preserve"> Xᵢ,J  binarias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</si>
</sst>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(&quot;$&quot;* #,##0.00_);_(&quot;$&quot;* \(#,##0.00\);_(&quot;$&quot;* &quot;-&quot;??_);_(@_)"/>
    <numFmt numFmtId="165" formatCode="&quot;$&quot;\ #,##0"/>
    <numFmt numFmtId="166" formatCode="_(&quot;$&quot;* #,##0_);_(&quot;$&quot;* \(#,##0\);_(&quot;$&quot;* &quot;-&quot;??_);_(@_)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</font>
    <font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Arial"/>
    </font>
    <font>
      <b/>
      <sz val="10"/>
      <color rgb="FFFFFFFF"/>
      <name val="Arial"/>
    </font>
    <font>
      <sz val="11"/>
      <color theme="1"/>
      <name val="Arial"/>
    </font>
    <font>
      <b/>
      <sz val="9"/>
      <color rgb="FF000000"/>
      <name val="Arial"/>
    </font>
    <font>
      <b/>
      <sz val="11"/>
      <name val="Arial"/>
    </font>
    <font>
      <sz val="11"/>
      <name val="Arial"/>
    </font>
    <font>
      <sz val="9"/>
      <color rgb="FF000000"/>
      <name val="Arial"/>
    </font>
  </fonts>
  <fills count="13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2E75B6"/>
        <bgColor rgb="FF4472C4"/>
      </patternFill>
    </fill>
    <fill>
      <patternFill patternType="solid">
        <fgColor rgb="FFBDD7EE"/>
        <bgColor rgb="FF99CCFF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AAAAAA"/>
      </patternFill>
    </fill>
    <fill>
      <patternFill patternType="solid">
        <fgColor rgb="FFF2F2F2"/>
        <bgColor rgb="FFFFFFFF"/>
      </patternFill>
    </fill>
    <fill>
      <patternFill patternType="solid">
        <fgColor theme="4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/>
      <bottom style="thin">
        <color rgb="FFAAAAAA"/>
      </bottom>
      <diagonal/>
    </border>
    <border>
      <left/>
      <right style="thin">
        <color rgb="FFAAAAAA"/>
      </right>
      <top/>
      <bottom style="thin">
        <color rgb="FFAAAAAA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56">
    <xf numFmtId="0" fontId="0" fillId="0" borderId="0" xfId="0"/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wrapText="1"/>
    </xf>
    <xf numFmtId="0" fontId="0" fillId="5" borderId="1" xfId="0" applyFill="1" applyBorder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0" fillId="0" borderId="0" xfId="0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3" borderId="0" xfId="0" applyFill="1" applyAlignment="1">
      <alignment horizontal="center" vertical="center" wrapText="1"/>
    </xf>
    <xf numFmtId="0" fontId="0" fillId="4" borderId="0" xfId="0" applyFill="1"/>
    <xf numFmtId="0" fontId="0" fillId="0" borderId="0" xfId="0" applyAlignment="1">
      <alignment wrapText="1"/>
    </xf>
    <xf numFmtId="0" fontId="4" fillId="0" borderId="1" xfId="0" applyFont="1" applyBorder="1"/>
    <xf numFmtId="0" fontId="0" fillId="3" borderId="1" xfId="0" applyFill="1" applyBorder="1"/>
    <xf numFmtId="0" fontId="2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4" fillId="0" borderId="1" xfId="0" applyFont="1" applyBorder="1" applyAlignment="1">
      <alignment horizontal="center" vertical="center" wrapText="1"/>
    </xf>
    <xf numFmtId="166" fontId="0" fillId="0" borderId="1" xfId="2" applyNumberFormat="1" applyFont="1" applyBorder="1" applyAlignment="1">
      <alignment vertical="center"/>
    </xf>
    <xf numFmtId="166" fontId="0" fillId="0" borderId="1" xfId="2" applyNumberFormat="1" applyFont="1" applyBorder="1" applyAlignment="1">
      <alignment vertical="center" wrapText="1"/>
    </xf>
    <xf numFmtId="166" fontId="0" fillId="0" borderId="1" xfId="2" applyNumberFormat="1" applyFont="1" applyBorder="1" applyAlignment="1">
      <alignment horizontal="center" vertical="center"/>
    </xf>
    <xf numFmtId="166" fontId="0" fillId="0" borderId="1" xfId="2" applyNumberFormat="1" applyFont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/>
    </xf>
    <xf numFmtId="0" fontId="0" fillId="0" borderId="0" xfId="0" applyAlignment="1">
      <alignment vertical="center"/>
    </xf>
    <xf numFmtId="166" fontId="0" fillId="0" borderId="0" xfId="2" applyNumberFormat="1" applyFont="1" applyFill="1" applyBorder="1" applyAlignment="1">
      <alignment horizontal="center" vertical="center"/>
    </xf>
    <xf numFmtId="166" fontId="0" fillId="0" borderId="0" xfId="2" applyNumberFormat="1" applyFont="1" applyFill="1" applyBorder="1" applyAlignment="1">
      <alignment vertical="center"/>
    </xf>
    <xf numFmtId="165" fontId="0" fillId="4" borderId="1" xfId="0" applyNumberFormat="1" applyFill="1" applyBorder="1" applyAlignment="1">
      <alignment horizontal="center" vertical="center" wrapText="1"/>
    </xf>
    <xf numFmtId="1" fontId="0" fillId="0" borderId="1" xfId="1" applyNumberFormat="1" applyFont="1" applyBorder="1" applyAlignment="1">
      <alignment horizontal="center" vertical="center"/>
    </xf>
    <xf numFmtId="0" fontId="5" fillId="0" borderId="0" xfId="0" applyFont="1"/>
    <xf numFmtId="0" fontId="6" fillId="7" borderId="5" xfId="0" applyFont="1" applyFill="1" applyBorder="1" applyAlignment="1">
      <alignment horizontal="center" wrapText="1"/>
    </xf>
    <xf numFmtId="0" fontId="7" fillId="0" borderId="0" xfId="0" applyFont="1"/>
    <xf numFmtId="0" fontId="8" fillId="8" borderId="6" xfId="0" applyFont="1" applyFill="1" applyBorder="1" applyAlignment="1">
      <alignment horizontal="center" wrapText="1"/>
    </xf>
    <xf numFmtId="0" fontId="8" fillId="8" borderId="7" xfId="0" applyFont="1" applyFill="1" applyBorder="1" applyAlignment="1">
      <alignment horizontal="center" wrapText="1"/>
    </xf>
    <xf numFmtId="0" fontId="9" fillId="0" borderId="1" xfId="0" applyFont="1" applyBorder="1" applyAlignment="1">
      <alignment wrapText="1"/>
    </xf>
    <xf numFmtId="0" fontId="10" fillId="9" borderId="8" xfId="0" applyFont="1" applyFill="1" applyBorder="1" applyAlignment="1">
      <alignment horizontal="center"/>
    </xf>
    <xf numFmtId="0" fontId="9" fillId="10" borderId="8" xfId="0" applyFont="1" applyFill="1" applyBorder="1" applyAlignment="1">
      <alignment horizontal="center"/>
    </xf>
    <xf numFmtId="0" fontId="8" fillId="11" borderId="5" xfId="0" applyFont="1" applyFill="1" applyBorder="1" applyAlignment="1">
      <alignment wrapText="1"/>
    </xf>
    <xf numFmtId="0" fontId="5" fillId="0" borderId="0" xfId="0" applyFont="1" applyAlignment="1">
      <alignment horizontal="center"/>
    </xf>
    <xf numFmtId="0" fontId="9" fillId="0" borderId="11" xfId="0" applyFont="1" applyBorder="1" applyAlignment="1">
      <alignment vertical="center" wrapText="1"/>
    </xf>
    <xf numFmtId="0" fontId="11" fillId="12" borderId="5" xfId="0" applyFont="1" applyFill="1" applyBorder="1" applyAlignment="1">
      <alignment wrapText="1"/>
    </xf>
    <xf numFmtId="0" fontId="10" fillId="0" borderId="1" xfId="0" applyFont="1" applyBorder="1" applyAlignment="1">
      <alignment horizontal="center" wrapText="1"/>
    </xf>
    <xf numFmtId="0" fontId="10" fillId="0" borderId="8" xfId="0" applyFont="1" applyBorder="1" applyAlignment="1">
      <alignment horizontal="center" wrapText="1"/>
    </xf>
    <xf numFmtId="0" fontId="11" fillId="12" borderId="6" xfId="0" applyFont="1" applyFill="1" applyBorder="1" applyAlignment="1">
      <alignment wrapText="1"/>
    </xf>
    <xf numFmtId="0" fontId="10" fillId="0" borderId="9" xfId="0" applyFont="1" applyBorder="1" applyAlignment="1">
      <alignment horizontal="center" wrapText="1"/>
    </xf>
    <xf numFmtId="0" fontId="10" fillId="0" borderId="10" xfId="0" applyFont="1" applyBorder="1" applyAlignment="1">
      <alignment horizontal="center" wrapText="1"/>
    </xf>
    <xf numFmtId="0" fontId="4" fillId="0" borderId="2" xfId="0" applyFont="1" applyBorder="1" applyAlignment="1">
      <alignment horizontal="center"/>
    </xf>
    <xf numFmtId="0" fontId="6" fillId="7" borderId="3" xfId="0" applyFont="1" applyFill="1" applyBorder="1" applyAlignment="1">
      <alignment horizontal="center" wrapText="1"/>
    </xf>
    <xf numFmtId="0" fontId="6" fillId="7" borderId="4" xfId="0" applyFont="1" applyFill="1" applyBorder="1" applyAlignment="1">
      <alignment horizontal="center" wrapText="1"/>
    </xf>
    <xf numFmtId="0" fontId="11" fillId="11" borderId="4" xfId="0" applyFont="1" applyFill="1" applyBorder="1" applyAlignment="1">
      <alignment horizontal="center" wrapText="1"/>
    </xf>
    <xf numFmtId="0" fontId="11" fillId="11" borderId="3" xfId="0" applyFont="1" applyFill="1" applyBorder="1" applyAlignment="1">
      <alignment horizontal="center" wrapText="1"/>
    </xf>
    <xf numFmtId="0" fontId="5" fillId="0" borderId="0" xfId="0" applyFont="1" applyAlignment="1">
      <alignment vertical="center" wrapText="1"/>
    </xf>
  </cellXfs>
  <cellStyles count="3">
    <cellStyle name="Millares" xfId="1" builtinId="3"/>
    <cellStyle name="Moneda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465365</xdr:colOff>
      <xdr:row>17</xdr:row>
      <xdr:rowOff>40821</xdr:rowOff>
    </xdr:from>
    <xdr:to>
      <xdr:col>3</xdr:col>
      <xdr:colOff>398272</xdr:colOff>
      <xdr:row>27</xdr:row>
      <xdr:rowOff>144253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0F71AFF-0278-02C6-5FEF-EC064FC58D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5365" y="3479346"/>
          <a:ext cx="3914357" cy="191045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510540</xdr:colOff>
      <xdr:row>1</xdr:row>
      <xdr:rowOff>45720</xdr:rowOff>
    </xdr:from>
    <xdr:to>
      <xdr:col>14</xdr:col>
      <xdr:colOff>120828</xdr:colOff>
      <xdr:row>7</xdr:row>
      <xdr:rowOff>342900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15EBE96-FDDD-ED8E-2B29-FAE00267E4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42860" y="228600"/>
          <a:ext cx="3572688" cy="249174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352424</xdr:colOff>
      <xdr:row>2</xdr:row>
      <xdr:rowOff>180975</xdr:rowOff>
    </xdr:from>
    <xdr:to>
      <xdr:col>14</xdr:col>
      <xdr:colOff>152399</xdr:colOff>
      <xdr:row>12</xdr:row>
      <xdr:rowOff>85725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77C9A2D-8130-4A44-AEC1-B45ED34553D9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10749" y="180975"/>
          <a:ext cx="2085975" cy="18097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6E60A-498F-4573-93AA-F8CC2484E736}">
  <dimension ref="B2:L16"/>
  <sheetViews>
    <sheetView showGridLines="0" zoomScaleNormal="100" workbookViewId="0">
      <selection activeCell="N31" sqref="N31"/>
    </sheetView>
  </sheetViews>
  <sheetFormatPr defaultColWidth="9.140625" defaultRowHeight="14.65"/>
  <cols>
    <col min="1" max="1" width="8.28515625" customWidth="1"/>
    <col min="2" max="2" width="28.5703125" customWidth="1"/>
    <col min="3" max="3" width="19.42578125" customWidth="1"/>
    <col min="4" max="4" width="13.140625" customWidth="1"/>
    <col min="5" max="5" width="17.85546875" customWidth="1"/>
    <col min="6" max="6" width="13.85546875" customWidth="1"/>
    <col min="7" max="7" width="6.28515625" customWidth="1"/>
    <col min="8" max="8" width="35.7109375" style="10" customWidth="1"/>
    <col min="9" max="9" width="9.140625" style="2" customWidth="1"/>
    <col min="11" max="11" width="9.140625" style="2" customWidth="1"/>
    <col min="13" max="13" width="20.7109375" customWidth="1"/>
  </cols>
  <sheetData>
    <row r="2" spans="2:12" ht="18.399999999999999">
      <c r="B2" s="1" t="s">
        <v>0</v>
      </c>
      <c r="C2" s="18"/>
      <c r="D2" s="18"/>
    </row>
    <row r="3" spans="2:12" ht="18.399999999999999">
      <c r="B3" s="18"/>
      <c r="C3" s="18"/>
      <c r="D3" s="18"/>
    </row>
    <row r="4" spans="2:12" ht="18.399999999999999">
      <c r="B4" s="18"/>
      <c r="C4" s="18"/>
      <c r="D4" s="18"/>
    </row>
    <row r="5" spans="2:12" ht="29.1">
      <c r="B5" s="19" t="s">
        <v>1</v>
      </c>
      <c r="C5" s="19" t="s">
        <v>2</v>
      </c>
      <c r="D5" s="19" t="s">
        <v>3</v>
      </c>
      <c r="E5" s="22" t="s">
        <v>4</v>
      </c>
      <c r="F5" s="19" t="s">
        <v>5</v>
      </c>
      <c r="H5" s="22" t="s">
        <v>6</v>
      </c>
      <c r="J5" s="2"/>
    </row>
    <row r="6" spans="2:12">
      <c r="B6" s="21" t="s">
        <v>7</v>
      </c>
      <c r="C6" s="25">
        <v>30000</v>
      </c>
      <c r="D6" s="23">
        <v>1200</v>
      </c>
      <c r="E6" s="5">
        <v>1</v>
      </c>
      <c r="F6" s="27">
        <v>8</v>
      </c>
      <c r="H6" s="31">
        <f>SUMPRODUCT($C$6:$C$12,$E$6:$E$12)+SUMPRODUCT($D$6:$D$12,$F$6:$F$12)</f>
        <v>130600</v>
      </c>
      <c r="I6" s="7"/>
      <c r="J6" s="4"/>
      <c r="K6" s="4"/>
    </row>
    <row r="7" spans="2:12">
      <c r="B7" s="20" t="s">
        <v>8</v>
      </c>
      <c r="C7" s="26">
        <v>35000</v>
      </c>
      <c r="D7" s="24">
        <v>7000</v>
      </c>
      <c r="E7" s="5">
        <v>0</v>
      </c>
      <c r="F7" s="27">
        <v>0</v>
      </c>
      <c r="H7" s="4" t="s">
        <v>9</v>
      </c>
      <c r="I7" s="4">
        <f>SUMPRODUCT($F$6:$F$12)</f>
        <v>20</v>
      </c>
      <c r="J7" s="4" t="s">
        <v>10</v>
      </c>
      <c r="K7" s="32">
        <f>C14</f>
        <v>20</v>
      </c>
    </row>
    <row r="8" spans="2:12">
      <c r="B8" s="21" t="s">
        <v>11</v>
      </c>
      <c r="C8" s="25">
        <v>20000</v>
      </c>
      <c r="D8" s="23">
        <v>8000</v>
      </c>
      <c r="E8" s="5">
        <v>0</v>
      </c>
      <c r="F8" s="27">
        <v>0</v>
      </c>
      <c r="H8" s="4" t="s">
        <v>12</v>
      </c>
      <c r="I8" s="4">
        <f>F6-$C$15*E6</f>
        <v>0</v>
      </c>
      <c r="J8" s="4" t="s">
        <v>13</v>
      </c>
      <c r="K8" s="32">
        <v>0</v>
      </c>
    </row>
    <row r="9" spans="2:12">
      <c r="B9" s="21" t="s">
        <v>14</v>
      </c>
      <c r="C9" s="25">
        <v>25000</v>
      </c>
      <c r="D9" s="23">
        <v>10000</v>
      </c>
      <c r="E9" s="5">
        <v>0</v>
      </c>
      <c r="F9" s="27">
        <v>0</v>
      </c>
      <c r="H9" s="4" t="s">
        <v>15</v>
      </c>
      <c r="I9" s="4">
        <f t="shared" ref="I9:I14" si="0">F7-$C$15*E7</f>
        <v>0</v>
      </c>
      <c r="J9" s="4" t="s">
        <v>13</v>
      </c>
      <c r="K9" s="32">
        <v>0</v>
      </c>
    </row>
    <row r="10" spans="2:12">
      <c r="B10" s="21" t="s">
        <v>16</v>
      </c>
      <c r="C10" s="25">
        <v>20000</v>
      </c>
      <c r="D10" s="23">
        <v>9000</v>
      </c>
      <c r="E10" s="5">
        <v>0</v>
      </c>
      <c r="F10" s="27">
        <v>0</v>
      </c>
      <c r="H10" s="4" t="s">
        <v>17</v>
      </c>
      <c r="I10" s="4">
        <f t="shared" si="0"/>
        <v>0</v>
      </c>
      <c r="J10" s="4" t="s">
        <v>13</v>
      </c>
      <c r="K10" s="32">
        <v>0</v>
      </c>
    </row>
    <row r="11" spans="2:12">
      <c r="B11" s="21" t="s">
        <v>18</v>
      </c>
      <c r="C11" s="25">
        <v>15000</v>
      </c>
      <c r="D11" s="23">
        <v>7000</v>
      </c>
      <c r="E11" s="5">
        <v>1</v>
      </c>
      <c r="F11" s="27">
        <v>4</v>
      </c>
      <c r="H11" s="4" t="s">
        <v>19</v>
      </c>
      <c r="I11" s="4">
        <f t="shared" si="0"/>
        <v>0</v>
      </c>
      <c r="J11" s="4" t="s">
        <v>13</v>
      </c>
      <c r="K11" s="32">
        <v>0</v>
      </c>
    </row>
    <row r="12" spans="2:12">
      <c r="B12" s="21" t="s">
        <v>20</v>
      </c>
      <c r="C12" s="25">
        <v>40000</v>
      </c>
      <c r="D12" s="23">
        <v>1000</v>
      </c>
      <c r="E12" s="5">
        <v>1</v>
      </c>
      <c r="F12" s="27">
        <v>8</v>
      </c>
      <c r="H12" s="4" t="s">
        <v>21</v>
      </c>
      <c r="I12" s="4">
        <f t="shared" si="0"/>
        <v>0</v>
      </c>
      <c r="J12" s="4" t="s">
        <v>13</v>
      </c>
      <c r="K12" s="32">
        <v>0</v>
      </c>
    </row>
    <row r="13" spans="2:12">
      <c r="B13" s="28"/>
      <c r="C13" s="29"/>
      <c r="D13" s="30"/>
      <c r="E13" s="2"/>
      <c r="H13" s="4" t="s">
        <v>22</v>
      </c>
      <c r="I13" s="4">
        <f t="shared" si="0"/>
        <v>-4</v>
      </c>
      <c r="J13" s="4" t="s">
        <v>13</v>
      </c>
      <c r="K13" s="32">
        <v>0</v>
      </c>
    </row>
    <row r="14" spans="2:12">
      <c r="B14" s="3" t="s">
        <v>23</v>
      </c>
      <c r="C14" s="4">
        <v>20</v>
      </c>
      <c r="H14" s="4" t="s">
        <v>24</v>
      </c>
      <c r="I14" s="4">
        <f t="shared" si="0"/>
        <v>0</v>
      </c>
      <c r="J14" s="4" t="s">
        <v>13</v>
      </c>
      <c r="K14" s="32">
        <v>0</v>
      </c>
      <c r="L14" s="8"/>
    </row>
    <row r="15" spans="2:12">
      <c r="B15" s="3" t="s">
        <v>25</v>
      </c>
      <c r="C15" s="4">
        <v>8</v>
      </c>
      <c r="H15" s="4" t="s">
        <v>26</v>
      </c>
      <c r="I15" s="4">
        <f>E9+E11</f>
        <v>1</v>
      </c>
      <c r="J15" s="4" t="s">
        <v>13</v>
      </c>
      <c r="K15" s="4">
        <v>1</v>
      </c>
    </row>
    <row r="16" spans="2:12">
      <c r="B16" s="9"/>
      <c r="C16" s="9"/>
      <c r="D16" s="9"/>
    </row>
  </sheetData>
  <pageMargins left="0.75" right="0.75" top="1" bottom="1" header="0.5" footer="0.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3970E-D5F8-4992-95B5-5CB2A553E543}">
  <dimension ref="A2:I8"/>
  <sheetViews>
    <sheetView workbookViewId="0">
      <selection activeCell="H18" sqref="H18"/>
    </sheetView>
  </sheetViews>
  <sheetFormatPr defaultColWidth="11.42578125" defaultRowHeight="14.65"/>
  <sheetData>
    <row r="2" spans="1:9">
      <c r="A2" s="11" t="s">
        <v>27</v>
      </c>
      <c r="B2" s="11" t="s">
        <v>28</v>
      </c>
      <c r="C2" s="11" t="s">
        <v>29</v>
      </c>
      <c r="D2" s="11" t="s">
        <v>30</v>
      </c>
      <c r="E2" s="11" t="s">
        <v>31</v>
      </c>
      <c r="F2" s="11" t="s">
        <v>32</v>
      </c>
      <c r="G2" s="11" t="s">
        <v>33</v>
      </c>
      <c r="H2" s="11" t="s">
        <v>34</v>
      </c>
      <c r="I2" s="11" t="s">
        <v>35</v>
      </c>
    </row>
    <row r="3" spans="1:9" ht="29.1">
      <c r="A3" s="12" t="s">
        <v>36</v>
      </c>
      <c r="B3" s="13">
        <v>1</v>
      </c>
      <c r="C3" s="13">
        <v>0</v>
      </c>
      <c r="D3" s="13">
        <v>1</v>
      </c>
      <c r="E3" s="13">
        <v>1</v>
      </c>
      <c r="F3" s="13">
        <v>0</v>
      </c>
      <c r="G3" s="10"/>
      <c r="H3" s="10"/>
      <c r="I3" s="10"/>
    </row>
    <row r="4" spans="1:9" ht="29.1">
      <c r="A4" s="12" t="s">
        <v>37</v>
      </c>
      <c r="B4" s="10">
        <v>6</v>
      </c>
      <c r="C4" s="10">
        <v>5</v>
      </c>
      <c r="D4" s="10">
        <v>3</v>
      </c>
      <c r="E4" s="10">
        <v>3</v>
      </c>
      <c r="F4" s="10">
        <v>2</v>
      </c>
      <c r="G4" s="10">
        <f>+SUMPRODUCT($B$3:$F$3,B4:F4)</f>
        <v>12</v>
      </c>
      <c r="H4" s="10" t="s">
        <v>38</v>
      </c>
      <c r="I4" s="10"/>
    </row>
    <row r="5" spans="1:9" ht="29.1">
      <c r="A5" s="12" t="s">
        <v>39</v>
      </c>
      <c r="B5" s="10">
        <v>6</v>
      </c>
      <c r="C5" s="10">
        <v>4</v>
      </c>
      <c r="D5" s="10">
        <v>3</v>
      </c>
      <c r="E5" s="10">
        <v>2</v>
      </c>
      <c r="F5" s="10">
        <v>2</v>
      </c>
      <c r="G5" s="10">
        <f>+SUMPRODUCT($B$3:$F$3,B5:F5)</f>
        <v>11</v>
      </c>
      <c r="H5" s="10" t="s">
        <v>13</v>
      </c>
      <c r="I5" s="10">
        <v>12</v>
      </c>
    </row>
    <row r="6" spans="1:9" ht="43.7">
      <c r="A6" s="12" t="s">
        <v>40</v>
      </c>
      <c r="B6" s="10">
        <v>0</v>
      </c>
      <c r="C6" s="10">
        <v>1</v>
      </c>
      <c r="D6" s="10">
        <v>1</v>
      </c>
      <c r="E6" s="10">
        <v>1</v>
      </c>
      <c r="F6" s="10">
        <v>0</v>
      </c>
      <c r="G6" s="10">
        <f t="shared" ref="G6:G8" si="0">+SUMPRODUCT($B$3:$F$3,B6:F6)</f>
        <v>2</v>
      </c>
      <c r="H6" s="10" t="s">
        <v>13</v>
      </c>
      <c r="I6" s="10">
        <v>2</v>
      </c>
    </row>
    <row r="7" spans="1:9" ht="29.1">
      <c r="A7" s="12" t="s">
        <v>41</v>
      </c>
      <c r="B7" s="10">
        <v>1</v>
      </c>
      <c r="C7" s="10">
        <v>1</v>
      </c>
      <c r="D7" s="10">
        <v>1</v>
      </c>
      <c r="E7" s="10">
        <v>0</v>
      </c>
      <c r="F7" s="10">
        <v>1</v>
      </c>
      <c r="G7" s="10">
        <f t="shared" si="0"/>
        <v>2</v>
      </c>
      <c r="H7" s="10" t="s">
        <v>13</v>
      </c>
      <c r="I7" s="10">
        <v>2</v>
      </c>
    </row>
    <row r="8" spans="1:9" ht="43.7">
      <c r="A8" s="12" t="s">
        <v>42</v>
      </c>
      <c r="B8" s="10">
        <v>1</v>
      </c>
      <c r="C8" s="10">
        <v>1</v>
      </c>
      <c r="D8" s="10">
        <v>0</v>
      </c>
      <c r="E8" s="10">
        <v>0</v>
      </c>
      <c r="F8" s="10">
        <v>0</v>
      </c>
      <c r="G8" s="10">
        <f t="shared" si="0"/>
        <v>1</v>
      </c>
      <c r="H8" s="10" t="s">
        <v>13</v>
      </c>
      <c r="I8" s="10">
        <v>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659BA-8EA6-4D8A-83A6-2A17E02AB683}">
  <dimension ref="B1:K24"/>
  <sheetViews>
    <sheetView workbookViewId="0">
      <selection activeCell="L16" sqref="L16"/>
    </sheetView>
  </sheetViews>
  <sheetFormatPr defaultColWidth="11.42578125" defaultRowHeight="14.65"/>
  <cols>
    <col min="1" max="1" width="5.7109375" customWidth="1"/>
    <col min="2" max="2" width="31.140625" customWidth="1"/>
  </cols>
  <sheetData>
    <row r="1" spans="2:11" ht="18.399999999999999">
      <c r="B1" s="1" t="s">
        <v>43</v>
      </c>
    </row>
    <row r="3" spans="2:11">
      <c r="B3" s="9" t="s">
        <v>44</v>
      </c>
      <c r="C3" s="9">
        <v>1</v>
      </c>
      <c r="D3" s="9">
        <v>2</v>
      </c>
      <c r="E3" s="9">
        <v>3</v>
      </c>
      <c r="F3" s="9">
        <v>4</v>
      </c>
      <c r="G3" s="9">
        <v>5</v>
      </c>
      <c r="H3" s="9">
        <v>6</v>
      </c>
      <c r="I3" s="9">
        <v>7</v>
      </c>
      <c r="J3" s="9">
        <v>8</v>
      </c>
    </row>
    <row r="4" spans="2:11">
      <c r="B4" s="16" t="s">
        <v>45</v>
      </c>
      <c r="C4" s="17">
        <v>1</v>
      </c>
      <c r="D4" s="17">
        <v>1</v>
      </c>
      <c r="E4" s="17">
        <v>0</v>
      </c>
      <c r="F4" s="17">
        <v>0</v>
      </c>
      <c r="G4" s="17">
        <v>0</v>
      </c>
      <c r="H4" s="17">
        <v>1</v>
      </c>
      <c r="I4" s="17">
        <v>0</v>
      </c>
      <c r="J4" s="17">
        <v>1</v>
      </c>
      <c r="K4" s="14">
        <f>0</f>
        <v>0</v>
      </c>
    </row>
    <row r="5" spans="2:11">
      <c r="B5" s="16" t="s">
        <v>46</v>
      </c>
      <c r="C5" s="3">
        <f>IF(C4=1,0,1)</f>
        <v>0</v>
      </c>
      <c r="D5" s="3">
        <f t="shared" ref="D5:J5" si="0">IF(D4=1,0,1)</f>
        <v>0</v>
      </c>
      <c r="E5" s="3">
        <f t="shared" si="0"/>
        <v>1</v>
      </c>
      <c r="F5" s="3">
        <f t="shared" si="0"/>
        <v>1</v>
      </c>
      <c r="G5" s="3">
        <f t="shared" si="0"/>
        <v>1</v>
      </c>
      <c r="H5" s="3">
        <f t="shared" si="0"/>
        <v>0</v>
      </c>
      <c r="I5" s="3">
        <f t="shared" si="0"/>
        <v>1</v>
      </c>
      <c r="J5" s="3">
        <f t="shared" si="0"/>
        <v>0</v>
      </c>
    </row>
    <row r="6" spans="2:11">
      <c r="B6" s="16" t="s">
        <v>47</v>
      </c>
      <c r="C6" s="3">
        <v>1</v>
      </c>
      <c r="D6" s="3">
        <v>0</v>
      </c>
      <c r="E6" s="3">
        <v>1</v>
      </c>
      <c r="F6" s="3">
        <v>0</v>
      </c>
      <c r="G6" s="3">
        <v>1</v>
      </c>
      <c r="H6" s="3">
        <v>0</v>
      </c>
      <c r="I6" s="3">
        <v>0</v>
      </c>
      <c r="J6" s="3">
        <v>1</v>
      </c>
    </row>
    <row r="7" spans="2:11">
      <c r="B7" s="16" t="s">
        <v>48</v>
      </c>
      <c r="C7" s="3">
        <v>0</v>
      </c>
      <c r="D7" s="3">
        <v>1</v>
      </c>
      <c r="E7" s="3">
        <v>0</v>
      </c>
      <c r="F7" s="3">
        <v>1</v>
      </c>
      <c r="G7" s="3">
        <v>0</v>
      </c>
      <c r="H7" s="3">
        <v>1</v>
      </c>
      <c r="I7" s="3">
        <v>0</v>
      </c>
      <c r="J7" s="3">
        <v>1</v>
      </c>
    </row>
    <row r="8" spans="2:11">
      <c r="B8" s="16" t="s">
        <v>49</v>
      </c>
      <c r="C8" s="3">
        <v>4</v>
      </c>
      <c r="D8" s="3">
        <v>5</v>
      </c>
      <c r="E8" s="3">
        <v>3</v>
      </c>
      <c r="F8" s="3">
        <v>2</v>
      </c>
      <c r="G8" s="3">
        <v>4</v>
      </c>
      <c r="H8" s="3">
        <v>3</v>
      </c>
      <c r="I8" s="3">
        <v>5</v>
      </c>
      <c r="J8" s="3">
        <v>4</v>
      </c>
    </row>
    <row r="10" spans="2:11">
      <c r="B10" s="50" t="s">
        <v>50</v>
      </c>
      <c r="C10" s="50"/>
      <c r="D10" s="50"/>
      <c r="E10" s="50"/>
    </row>
    <row r="11" spans="2:11">
      <c r="B11" s="3" t="s">
        <v>51</v>
      </c>
      <c r="C11" s="3">
        <f>SUMPRODUCT($C$4:$J$4,C6:J6)</f>
        <v>2</v>
      </c>
      <c r="D11" s="3" t="s">
        <v>10</v>
      </c>
      <c r="E11" s="3">
        <v>2</v>
      </c>
    </row>
    <row r="12" spans="2:11">
      <c r="B12" s="3" t="s">
        <v>52</v>
      </c>
      <c r="C12" s="3">
        <f>SUMPRODUCT($C$5:$J$5,C6:J6)</f>
        <v>2</v>
      </c>
      <c r="D12" s="3" t="s">
        <v>10</v>
      </c>
      <c r="E12" s="3">
        <v>2</v>
      </c>
    </row>
    <row r="13" spans="2:11">
      <c r="B13" s="3" t="s">
        <v>53</v>
      </c>
      <c r="C13" s="3">
        <f>SUMPRODUCT($C$4:$J$4,C7:J7)</f>
        <v>3</v>
      </c>
      <c r="D13" s="3" t="s">
        <v>54</v>
      </c>
      <c r="E13" s="3">
        <v>3</v>
      </c>
    </row>
    <row r="14" spans="2:11">
      <c r="B14" s="3" t="s">
        <v>55</v>
      </c>
      <c r="C14" s="3">
        <f>G4+H4</f>
        <v>1</v>
      </c>
      <c r="D14" s="3" t="s">
        <v>54</v>
      </c>
      <c r="E14" s="3">
        <v>1</v>
      </c>
    </row>
    <row r="15" spans="2:11" ht="35.25" customHeight="1">
      <c r="B15" s="6" t="s">
        <v>56</v>
      </c>
      <c r="C15" s="3">
        <f>D4+F4-G4-1</f>
        <v>0</v>
      </c>
      <c r="D15" s="3" t="s">
        <v>10</v>
      </c>
      <c r="E15" s="3">
        <v>0</v>
      </c>
    </row>
    <row r="16" spans="2:11">
      <c r="B16" s="3" t="s">
        <v>57</v>
      </c>
      <c r="C16" s="3">
        <f>SUMPRODUCT($C$4:$J$4,C8:J8)</f>
        <v>16</v>
      </c>
      <c r="D16" s="3" t="s">
        <v>54</v>
      </c>
      <c r="E16" s="3">
        <v>14</v>
      </c>
    </row>
    <row r="17" spans="2:10">
      <c r="B17" s="3" t="s">
        <v>57</v>
      </c>
      <c r="C17" s="3">
        <f>SUMPRODUCT($C$4:$J$4,C8:J8)</f>
        <v>16</v>
      </c>
      <c r="D17" s="3" t="s">
        <v>13</v>
      </c>
      <c r="E17" s="3">
        <v>16</v>
      </c>
    </row>
    <row r="18" spans="2:10">
      <c r="B18" s="3" t="s">
        <v>58</v>
      </c>
      <c r="C18" s="3">
        <f>SUMPRODUCT($C$5:$J$5,C8:J8)</f>
        <v>14</v>
      </c>
      <c r="D18" s="3" t="s">
        <v>54</v>
      </c>
      <c r="E18" s="3">
        <v>14</v>
      </c>
    </row>
    <row r="19" spans="2:10">
      <c r="B19" s="3" t="s">
        <v>58</v>
      </c>
      <c r="C19" s="3">
        <f>SUMPRODUCT($C$5:$J$5,C8:J8)</f>
        <v>14</v>
      </c>
      <c r="D19" s="3" t="s">
        <v>13</v>
      </c>
      <c r="E19" s="3">
        <v>16</v>
      </c>
    </row>
    <row r="22" spans="2:10" ht="35.25" customHeight="1">
      <c r="B22" s="15" t="s">
        <v>59</v>
      </c>
      <c r="C22" s="3">
        <f>SUM(C4:C5)</f>
        <v>1</v>
      </c>
      <c r="D22" s="3">
        <f t="shared" ref="D22:J22" si="1">SUM(D4:D5)</f>
        <v>1</v>
      </c>
      <c r="E22" s="3">
        <f t="shared" si="1"/>
        <v>1</v>
      </c>
      <c r="F22" s="3">
        <f t="shared" si="1"/>
        <v>1</v>
      </c>
      <c r="G22" s="3">
        <f t="shared" si="1"/>
        <v>1</v>
      </c>
      <c r="H22" s="3">
        <f t="shared" si="1"/>
        <v>1</v>
      </c>
      <c r="I22" s="3">
        <f t="shared" si="1"/>
        <v>1</v>
      </c>
      <c r="J22" s="3">
        <f t="shared" si="1"/>
        <v>1</v>
      </c>
    </row>
    <row r="23" spans="2:10">
      <c r="C23" s="3" t="s">
        <v>10</v>
      </c>
      <c r="D23" s="3" t="s">
        <v>10</v>
      </c>
      <c r="E23" s="3" t="s">
        <v>10</v>
      </c>
      <c r="F23" s="3" t="s">
        <v>10</v>
      </c>
      <c r="G23" s="3" t="s">
        <v>10</v>
      </c>
      <c r="H23" s="3" t="s">
        <v>10</v>
      </c>
      <c r="I23" s="3" t="s">
        <v>10</v>
      </c>
      <c r="J23" s="3" t="s">
        <v>10</v>
      </c>
    </row>
    <row r="24" spans="2:10">
      <c r="C24" s="3">
        <v>1</v>
      </c>
      <c r="D24" s="3">
        <v>1</v>
      </c>
      <c r="E24" s="3">
        <v>1</v>
      </c>
      <c r="F24" s="3">
        <v>1</v>
      </c>
      <c r="G24" s="3">
        <v>1</v>
      </c>
      <c r="H24" s="3">
        <v>1</v>
      </c>
      <c r="I24" s="3">
        <v>1</v>
      </c>
      <c r="J24" s="3">
        <v>1</v>
      </c>
    </row>
  </sheetData>
  <mergeCells count="1">
    <mergeCell ref="B10:E10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1B4EE-D212-448F-90BF-5DB4BF64ED0B}">
  <dimension ref="A1:U24"/>
  <sheetViews>
    <sheetView tabSelected="1" workbookViewId="0">
      <selection activeCell="J22" sqref="J22"/>
    </sheetView>
  </sheetViews>
  <sheetFormatPr defaultColWidth="11.42578125" defaultRowHeight="14.25"/>
  <cols>
    <col min="1" max="1" width="39.140625" style="35" customWidth="1"/>
    <col min="2" max="16384" width="11.42578125" style="35"/>
  </cols>
  <sheetData>
    <row r="1" spans="1:21" ht="14.65" customHeight="1">
      <c r="A1" s="33"/>
      <c r="B1" s="51" t="s">
        <v>60</v>
      </c>
      <c r="C1" s="52"/>
      <c r="D1" s="52"/>
      <c r="E1" s="52"/>
      <c r="F1" s="52"/>
      <c r="G1" s="51" t="s">
        <v>61</v>
      </c>
      <c r="H1" s="52"/>
      <c r="I1" s="52"/>
      <c r="J1" s="52"/>
      <c r="K1" s="52"/>
      <c r="L1" s="51" t="s">
        <v>62</v>
      </c>
      <c r="M1" s="52"/>
      <c r="N1" s="52"/>
      <c r="O1" s="52"/>
      <c r="P1" s="52"/>
      <c r="Q1" s="51" t="s">
        <v>63</v>
      </c>
      <c r="R1" s="52"/>
      <c r="S1" s="52"/>
      <c r="T1" s="34" t="s">
        <v>64</v>
      </c>
      <c r="U1" s="33"/>
    </row>
    <row r="2" spans="1:21" ht="24">
      <c r="A2" s="33"/>
      <c r="B2" s="36" t="s">
        <v>65</v>
      </c>
      <c r="C2" s="37" t="s">
        <v>66</v>
      </c>
      <c r="D2" s="37" t="s">
        <v>67</v>
      </c>
      <c r="E2" s="37" t="s">
        <v>68</v>
      </c>
      <c r="F2" s="37" t="s">
        <v>69</v>
      </c>
      <c r="G2" s="37" t="s">
        <v>70</v>
      </c>
      <c r="H2" s="37" t="s">
        <v>71</v>
      </c>
      <c r="I2" s="37" t="s">
        <v>72</v>
      </c>
      <c r="J2" s="37" t="s">
        <v>73</v>
      </c>
      <c r="K2" s="37" t="s">
        <v>74</v>
      </c>
      <c r="L2" s="37" t="s">
        <v>75</v>
      </c>
      <c r="M2" s="37" t="s">
        <v>76</v>
      </c>
      <c r="N2" s="37" t="s">
        <v>77</v>
      </c>
      <c r="O2" s="37" t="s">
        <v>78</v>
      </c>
      <c r="P2" s="37" t="s">
        <v>79</v>
      </c>
      <c r="Q2" s="37" t="s">
        <v>80</v>
      </c>
      <c r="R2" s="37" t="s">
        <v>81</v>
      </c>
      <c r="S2" s="37" t="s">
        <v>82</v>
      </c>
      <c r="T2" s="37" t="s">
        <v>83</v>
      </c>
      <c r="U2" s="33"/>
    </row>
    <row r="3" spans="1:21" ht="15">
      <c r="A3" s="38" t="s">
        <v>84</v>
      </c>
      <c r="B3" s="39">
        <v>0</v>
      </c>
      <c r="C3" s="39">
        <v>1</v>
      </c>
      <c r="D3" s="39">
        <v>0</v>
      </c>
      <c r="E3" s="39">
        <v>0</v>
      </c>
      <c r="F3" s="39">
        <v>0</v>
      </c>
      <c r="G3" s="39">
        <v>1</v>
      </c>
      <c r="H3" s="39">
        <v>0</v>
      </c>
      <c r="I3" s="39">
        <v>1</v>
      </c>
      <c r="J3" s="39">
        <v>0</v>
      </c>
      <c r="K3" s="39">
        <v>0</v>
      </c>
      <c r="L3" s="39">
        <v>0</v>
      </c>
      <c r="M3" s="39">
        <v>0</v>
      </c>
      <c r="N3" s="39">
        <v>0</v>
      </c>
      <c r="O3" s="39">
        <v>1</v>
      </c>
      <c r="P3" s="39">
        <v>1</v>
      </c>
      <c r="Q3" s="39">
        <v>100</v>
      </c>
      <c r="R3" s="39">
        <v>200</v>
      </c>
      <c r="S3" s="39">
        <v>0</v>
      </c>
      <c r="T3" s="40">
        <v>2600</v>
      </c>
      <c r="U3" s="33"/>
    </row>
    <row r="4" spans="1:21" ht="14.65" customHeight="1">
      <c r="A4" s="41" t="s">
        <v>85</v>
      </c>
      <c r="B4" s="53" t="s">
        <v>86</v>
      </c>
      <c r="C4" s="53"/>
      <c r="D4" s="53"/>
      <c r="E4" s="53"/>
      <c r="F4" s="53"/>
      <c r="G4" s="54" t="s">
        <v>87</v>
      </c>
      <c r="H4" s="53"/>
      <c r="I4" s="53"/>
      <c r="J4" s="53"/>
      <c r="K4" s="53"/>
      <c r="L4" s="54" t="s">
        <v>88</v>
      </c>
      <c r="M4" s="53"/>
      <c r="N4" s="53"/>
      <c r="O4" s="53"/>
      <c r="P4" s="53"/>
      <c r="Q4" s="42"/>
      <c r="R4" s="42"/>
      <c r="S4" s="42"/>
      <c r="T4" s="42"/>
      <c r="U4" s="33"/>
    </row>
    <row r="5" spans="1:21">
      <c r="A5" s="33"/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</row>
    <row r="6" spans="1:21">
      <c r="A6" s="43" t="s">
        <v>50</v>
      </c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</row>
    <row r="7" spans="1:21" ht="14.65" customHeight="1">
      <c r="A7" s="44" t="s">
        <v>89</v>
      </c>
      <c r="B7" s="45">
        <v>1</v>
      </c>
      <c r="C7" s="46" t="s">
        <v>13</v>
      </c>
      <c r="D7" s="46">
        <v>1</v>
      </c>
      <c r="E7" s="55" t="s">
        <v>90</v>
      </c>
      <c r="F7" s="55"/>
      <c r="G7" s="55"/>
      <c r="H7" s="55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</row>
    <row r="8" spans="1:21" ht="14.65" customHeight="1">
      <c r="A8" s="47" t="s">
        <v>91</v>
      </c>
      <c r="B8" s="48">
        <v>1</v>
      </c>
      <c r="C8" s="49" t="s">
        <v>13</v>
      </c>
      <c r="D8" s="49">
        <v>1</v>
      </c>
      <c r="E8" s="55"/>
      <c r="F8" s="55"/>
      <c r="G8" s="55"/>
      <c r="H8" s="55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</row>
    <row r="9" spans="1:21" ht="14.65" customHeight="1">
      <c r="A9" s="47" t="s">
        <v>92</v>
      </c>
      <c r="B9" s="48">
        <v>1</v>
      </c>
      <c r="C9" s="49" t="s">
        <v>13</v>
      </c>
      <c r="D9" s="49">
        <v>1</v>
      </c>
      <c r="E9" s="55"/>
      <c r="F9" s="55"/>
      <c r="G9" s="55"/>
      <c r="H9" s="55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</row>
    <row r="10" spans="1:21" ht="14.65" customHeight="1">
      <c r="A10" s="47" t="s">
        <v>93</v>
      </c>
      <c r="B10" s="48">
        <v>1</v>
      </c>
      <c r="C10" s="49" t="s">
        <v>13</v>
      </c>
      <c r="D10" s="49">
        <v>1</v>
      </c>
      <c r="E10" s="55"/>
      <c r="F10" s="55"/>
      <c r="G10" s="55"/>
      <c r="H10" s="55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</row>
    <row r="11" spans="1:21" ht="14.65" customHeight="1">
      <c r="A11" s="47" t="s">
        <v>94</v>
      </c>
      <c r="B11" s="48">
        <v>1</v>
      </c>
      <c r="C11" s="49" t="s">
        <v>13</v>
      </c>
      <c r="D11" s="49">
        <v>1</v>
      </c>
      <c r="E11" s="55"/>
      <c r="F11" s="55"/>
      <c r="G11" s="55"/>
      <c r="H11" s="55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</row>
    <row r="12" spans="1:21" ht="15" customHeight="1">
      <c r="A12" s="47" t="s">
        <v>95</v>
      </c>
      <c r="B12" s="48">
        <v>2900</v>
      </c>
      <c r="C12" s="49" t="s">
        <v>54</v>
      </c>
      <c r="D12" s="49">
        <v>2900</v>
      </c>
      <c r="E12" s="55" t="s">
        <v>96</v>
      </c>
      <c r="F12" s="55"/>
      <c r="G12" s="55"/>
      <c r="H12" s="55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</row>
    <row r="13" spans="1:21" ht="14.65" customHeight="1">
      <c r="A13" s="47" t="s">
        <v>97</v>
      </c>
      <c r="B13" s="48">
        <v>4000</v>
      </c>
      <c r="C13" s="49" t="s">
        <v>54</v>
      </c>
      <c r="D13" s="49">
        <v>4000</v>
      </c>
      <c r="E13" s="55"/>
      <c r="F13" s="55"/>
      <c r="G13" s="55"/>
      <c r="H13" s="55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</row>
    <row r="14" spans="1:21" ht="14.65" customHeight="1">
      <c r="A14" s="47" t="s">
        <v>98</v>
      </c>
      <c r="B14" s="48">
        <v>5200</v>
      </c>
      <c r="C14" s="49" t="s">
        <v>54</v>
      </c>
      <c r="D14" s="49">
        <v>4900</v>
      </c>
      <c r="E14" s="55"/>
      <c r="F14" s="55"/>
      <c r="G14" s="55"/>
      <c r="H14" s="55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</row>
    <row r="15" spans="1:21" ht="15" customHeight="1">
      <c r="A15" s="47" t="s">
        <v>99</v>
      </c>
      <c r="B15" s="48">
        <v>100</v>
      </c>
      <c r="C15" s="49" t="s">
        <v>13</v>
      </c>
      <c r="D15" s="49">
        <v>500</v>
      </c>
      <c r="E15" s="55" t="s">
        <v>100</v>
      </c>
      <c r="F15" s="55"/>
      <c r="G15" s="55"/>
      <c r="H15" s="55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</row>
    <row r="16" spans="1:21" ht="14.65" customHeight="1">
      <c r="A16" s="47" t="s">
        <v>101</v>
      </c>
      <c r="B16" s="48">
        <v>200</v>
      </c>
      <c r="C16" s="49" t="s">
        <v>13</v>
      </c>
      <c r="D16" s="49">
        <v>500</v>
      </c>
      <c r="E16" s="55"/>
      <c r="F16" s="55"/>
      <c r="G16" s="55"/>
      <c r="H16" s="55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</row>
    <row r="17" spans="1:21" ht="14.65" customHeight="1">
      <c r="A17" s="47" t="s">
        <v>102</v>
      </c>
      <c r="B17" s="48">
        <v>0</v>
      </c>
      <c r="C17" s="49" t="s">
        <v>13</v>
      </c>
      <c r="D17" s="49">
        <v>500</v>
      </c>
      <c r="E17" s="55"/>
      <c r="F17" s="55"/>
      <c r="G17" s="55"/>
      <c r="H17" s="55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</row>
    <row r="18" spans="1:21">
      <c r="A18" s="47" t="s">
        <v>103</v>
      </c>
      <c r="B18" s="48">
        <v>100</v>
      </c>
      <c r="C18" s="49" t="s">
        <v>54</v>
      </c>
      <c r="D18" s="49">
        <v>0</v>
      </c>
      <c r="E18" s="55" t="s">
        <v>104</v>
      </c>
      <c r="F18" s="55"/>
      <c r="G18" s="55"/>
      <c r="H18" s="55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</row>
    <row r="19" spans="1:21" ht="14.65" customHeight="1">
      <c r="A19" s="47" t="s">
        <v>105</v>
      </c>
      <c r="B19" s="48">
        <v>200</v>
      </c>
      <c r="C19" s="49" t="s">
        <v>54</v>
      </c>
      <c r="D19" s="49">
        <v>0</v>
      </c>
      <c r="E19" s="55"/>
      <c r="F19" s="55"/>
      <c r="G19" s="55"/>
      <c r="H19" s="55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</row>
    <row r="20" spans="1:21" ht="14.65" customHeight="1">
      <c r="A20" s="47" t="s">
        <v>106</v>
      </c>
      <c r="B20" s="48">
        <v>0</v>
      </c>
      <c r="C20" s="49" t="s">
        <v>54</v>
      </c>
      <c r="D20" s="49">
        <v>0</v>
      </c>
      <c r="E20" s="55"/>
      <c r="F20" s="55"/>
      <c r="G20" s="55"/>
      <c r="H20" s="55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</row>
    <row r="21" spans="1:21">
      <c r="A21" s="33"/>
      <c r="B21" s="33"/>
      <c r="C21" s="33"/>
      <c r="D21" s="33"/>
      <c r="E21" s="55" t="s">
        <v>107</v>
      </c>
      <c r="F21" s="55"/>
      <c r="G21" s="55"/>
      <c r="H21" s="55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</row>
    <row r="22" spans="1:21" ht="14.65" customHeight="1">
      <c r="A22" s="33"/>
      <c r="B22" s="33"/>
      <c r="C22" s="33"/>
      <c r="D22" s="33"/>
      <c r="E22" s="55"/>
      <c r="F22" s="55"/>
      <c r="G22" s="55"/>
      <c r="H22" s="55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</row>
    <row r="23" spans="1:21">
      <c r="A23" s="33"/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</row>
    <row r="24" spans="1:21">
      <c r="A24" s="33"/>
      <c r="B24" s="33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</row>
  </sheetData>
  <mergeCells count="12">
    <mergeCell ref="E7:H11"/>
    <mergeCell ref="E12:H14"/>
    <mergeCell ref="E15:H17"/>
    <mergeCell ref="E18:H20"/>
    <mergeCell ref="E21:H22"/>
    <mergeCell ref="B1:F1"/>
    <mergeCell ref="G1:K1"/>
    <mergeCell ref="L1:P1"/>
    <mergeCell ref="Q1:S1"/>
    <mergeCell ref="B4:F4"/>
    <mergeCell ref="G4:K4"/>
    <mergeCell ref="L4:P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Valentina Giraldo Gaviria</dc:creator>
  <cp:keywords/>
  <dc:description/>
  <cp:lastModifiedBy>Hector Hernan Betancourt Lopez</cp:lastModifiedBy>
  <cp:revision/>
  <dcterms:created xsi:type="dcterms:W3CDTF">2015-06-05T18:19:34Z</dcterms:created>
  <dcterms:modified xsi:type="dcterms:W3CDTF">2026-06-05T21:08:44Z</dcterms:modified>
  <cp:category/>
  <cp:contentStatus/>
</cp:coreProperties>
</file>