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1116282909\Downloads\"/>
    </mc:Choice>
  </mc:AlternateContent>
  <xr:revisionPtr revIDLastSave="0" documentId="13_ncr:1_{594041B8-AC80-4BE6-BF7C-F2C3504A34A2}" xr6:coauthVersionLast="47" xr6:coauthVersionMax="47" xr10:uidLastSave="{00000000-0000-0000-0000-000000000000}"/>
  <bookViews>
    <workbookView xWindow="16284" yWindow="-108" windowWidth="23256" windowHeight="12456" xr2:uid="{00000000-000D-0000-FFFF-FFFF00000000}"/>
  </bookViews>
  <sheets>
    <sheet name="Ejercicio_1" sheetId="1" r:id="rId1"/>
    <sheet name="Ejercicio_2" sheetId="3" r:id="rId2"/>
    <sheet name="Ejercicio_3" sheetId="6" r:id="rId3"/>
    <sheet name="Ejercicio_4" sheetId="4" r:id="rId4"/>
    <sheet name="Ejercicio_5" sheetId="2" r:id="rId5"/>
  </sheets>
  <definedNames>
    <definedName name="solver_adj" localSheetId="0" hidden="1">Ejercicio_1!$C$6:$F$6</definedName>
    <definedName name="solver_adj" localSheetId="2" hidden="1">Ejercicio_3!$C$5:$H$5</definedName>
    <definedName name="solver_adj" localSheetId="3" hidden="1">Ejercicio_4!$C$5:$F$5</definedName>
    <definedName name="solver_adj" localSheetId="4" hidden="1">Ejercicio_5!$C$8:$G$8</definedName>
    <definedName name="solver_cvg" localSheetId="0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drv" localSheetId="0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eng" localSheetId="0" hidden="1">2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st" localSheetId="0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itr" localSheetId="0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lhs1" localSheetId="0" hidden="1">Ejercicio_1!$H$9:$H$10</definedName>
    <definedName name="solver_lhs1" localSheetId="2" hidden="1">Ejercicio_3!$K$7:$K$10</definedName>
    <definedName name="solver_lhs1" localSheetId="3" hidden="1">Ejercicio_4!$C$5:$F$5</definedName>
    <definedName name="solver_lhs1" localSheetId="4" hidden="1">Ejercicio_5!$C$8:$G$8</definedName>
    <definedName name="solver_lhs2" localSheetId="0" hidden="1">Ejercicio_1!$H$11:$H$12</definedName>
    <definedName name="solver_lhs2" localSheetId="3" hidden="1">Ejercicio_4!$H$8:$H$11</definedName>
    <definedName name="solver_lhs2" localSheetId="4" hidden="1">Ejercicio_5!$I$11:$I$13</definedName>
    <definedName name="solver_lhs3" localSheetId="3" hidden="1">Ejercicio_4!$H$12:$H$15</definedName>
    <definedName name="solver_lhs3" localSheetId="4" hidden="1">Ejercicio_5!$I$14:$I$16</definedName>
    <definedName name="solver_mip" localSheetId="0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ni" localSheetId="0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rt" localSheetId="0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sl" localSheetId="0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neg" localSheetId="0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od" localSheetId="0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um" localSheetId="0" hidden="1">2</definedName>
    <definedName name="solver_num" localSheetId="2" hidden="1">1</definedName>
    <definedName name="solver_num" localSheetId="3" hidden="1">3</definedName>
    <definedName name="solver_num" localSheetId="4" hidden="1">3</definedName>
    <definedName name="solver_nwt" localSheetId="0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opt" localSheetId="0" hidden="1">Ejercicio_1!$H$8</definedName>
    <definedName name="solver_opt" localSheetId="2" hidden="1">Ejercicio_3!$J$6</definedName>
    <definedName name="solver_opt" localSheetId="3" hidden="1">Ejercicio_4!$H$7</definedName>
    <definedName name="solver_opt" localSheetId="4" hidden="1">Ejercicio_5!$I$10</definedName>
    <definedName name="solver_pre" localSheetId="0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rbv" localSheetId="0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el1" localSheetId="0" hidden="1">3</definedName>
    <definedName name="solver_rel1" localSheetId="2" hidden="1">1</definedName>
    <definedName name="solver_rel1" localSheetId="3" hidden="1">4</definedName>
    <definedName name="solver_rel1" localSheetId="4" hidden="1">4</definedName>
    <definedName name="solver_rel2" localSheetId="0" hidden="1">1</definedName>
    <definedName name="solver_rel2" localSheetId="3" hidden="1">1</definedName>
    <definedName name="solver_rel2" localSheetId="4" hidden="1">1</definedName>
    <definedName name="solver_rel3" localSheetId="3" hidden="1">3</definedName>
    <definedName name="solver_rel3" localSheetId="4" hidden="1">3</definedName>
    <definedName name="solver_rhs1" localSheetId="0" hidden="1">Ejercicio_1!$J$9:$J$10</definedName>
    <definedName name="solver_rhs1" localSheetId="2" hidden="1">Ejercicio_3!$M$7:$M$10</definedName>
    <definedName name="solver_rhs1" localSheetId="3" hidden="1">"entero"</definedName>
    <definedName name="solver_rhs1" localSheetId="4" hidden="1">"integer"</definedName>
    <definedName name="solver_rhs2" localSheetId="0" hidden="1">Ejercicio_1!$J$11:$J$12</definedName>
    <definedName name="solver_rhs2" localSheetId="3" hidden="1">Ejercicio_4!$J$8:$J$11</definedName>
    <definedName name="solver_rhs2" localSheetId="4" hidden="1">Ejercicio_5!$K$11:$K$13</definedName>
    <definedName name="solver_rhs3" localSheetId="3" hidden="1">Ejercicio_4!$J$12:$J$15</definedName>
    <definedName name="solver_rhs3" localSheetId="4" hidden="1">Ejercicio_5!$K$14:$K$16</definedName>
    <definedName name="solver_rlx" localSheetId="0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sd" localSheetId="0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scl" localSheetId="0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ho" localSheetId="0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sz" localSheetId="0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tim" localSheetId="0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ol" localSheetId="0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yp" localSheetId="0" hidden="1">2</definedName>
    <definedName name="solver_typ" localSheetId="2" hidden="1">1</definedName>
    <definedName name="solver_typ" localSheetId="3" hidden="1">1</definedName>
    <definedName name="solver_typ" localSheetId="4" hidden="1">1</definedName>
    <definedName name="solver_val" localSheetId="0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er" localSheetId="0" hidden="1">3</definedName>
    <definedName name="solver_ver" localSheetId="2" hidden="1">3</definedName>
    <definedName name="solver_ver" localSheetId="3" hidden="1">3</definedName>
    <definedName name="solver_ver" localSheetId="4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6" i="2" l="1"/>
  <c r="F16" i="2"/>
  <c r="E16" i="2"/>
  <c r="D16" i="2"/>
  <c r="C16" i="2"/>
  <c r="I15" i="2"/>
  <c r="C15" i="2"/>
  <c r="I14" i="2"/>
  <c r="F14" i="2"/>
  <c r="E14" i="2"/>
  <c r="D14" i="2"/>
  <c r="C14" i="2"/>
  <c r="I13" i="2"/>
  <c r="G12" i="2"/>
  <c r="I12" i="2"/>
  <c r="I11" i="2"/>
  <c r="I10" i="2"/>
  <c r="F6" i="6"/>
  <c r="E6" i="6"/>
  <c r="D6" i="6"/>
  <c r="C6" i="6"/>
  <c r="K9" i="6"/>
  <c r="K10" i="6"/>
  <c r="K8" i="6"/>
  <c r="K7" i="6"/>
  <c r="H15" i="4"/>
  <c r="H14" i="4"/>
  <c r="H13" i="4"/>
  <c r="H12" i="4"/>
  <c r="H11" i="4"/>
  <c r="H10" i="4"/>
  <c r="H9" i="4"/>
  <c r="H8" i="4"/>
  <c r="H7" i="4"/>
  <c r="H9" i="1"/>
  <c r="H10" i="1"/>
  <c r="H11" i="1"/>
  <c r="H12" i="1"/>
  <c r="H8" i="1"/>
  <c r="J6" i="6" l="1"/>
</calcChain>
</file>

<file path=xl/sharedStrings.xml><?xml version="1.0" encoding="utf-8"?>
<sst xmlns="http://schemas.openxmlformats.org/spreadsheetml/2006/main" count="162" uniqueCount="104">
  <si>
    <t>Caso: Walnut Orchard</t>
  </si>
  <si>
    <t>Maiz finca 1</t>
  </si>
  <si>
    <t>Maiz finca 2</t>
  </si>
  <si>
    <t>Trigo finca 1</t>
  </si>
  <si>
    <t>Trigo finca 2</t>
  </si>
  <si>
    <t>Cantidad Acres</t>
  </si>
  <si>
    <t>Costo</t>
  </si>
  <si>
    <t>Demanda maiz</t>
  </si>
  <si>
    <t>&gt;=</t>
  </si>
  <si>
    <t>Demanda trigo</t>
  </si>
  <si>
    <t>Finca 1</t>
  </si>
  <si>
    <t>&lt;=</t>
  </si>
  <si>
    <t>Finca 2</t>
  </si>
  <si>
    <t>Caso: Bank One</t>
  </si>
  <si>
    <t>FT1
10am-6pm</t>
  </si>
  <si>
    <t>FT2
11am-7pm</t>
  </si>
  <si>
    <t>FT3
Noon-8pm</t>
  </si>
  <si>
    <t>PT1
2pm-7pm</t>
  </si>
  <si>
    <t>PT2
3pm-8pm</t>
  </si>
  <si>
    <t>Trabajadores (Xs)</t>
  </si>
  <si>
    <t>FO: Minimizar Costo</t>
  </si>
  <si>
    <t>$1.335</t>
  </si>
  <si>
    <t>RESTRICCIONES CANTIDAD DE CHEQUES (It)</t>
  </si>
  <si>
    <t>CRt (cheques)</t>
  </si>
  <si>
    <t>XFT1</t>
  </si>
  <si>
    <t>XFT2</t>
  </si>
  <si>
    <t>XFT3</t>
  </si>
  <si>
    <t>XPT1</t>
  </si>
  <si>
    <t>XPT2</t>
  </si>
  <si>
    <t>CRt</t>
  </si>
  <si>
    <t>LHS (It)</t>
  </si>
  <si>
    <t>≥</t>
  </si>
  <si>
    <t>RHS</t>
  </si>
  <si>
    <t>It (inventario)</t>
  </si>
  <si>
    <t>10 A.M.</t>
  </si>
  <si>
    <t>11 A.M.</t>
  </si>
  <si>
    <t>Noon</t>
  </si>
  <si>
    <t>1 P.M.</t>
  </si>
  <si>
    <t>2 P.M.</t>
  </si>
  <si>
    <t>3 P.M.</t>
  </si>
  <si>
    <t>4 P.M.</t>
  </si>
  <si>
    <t>5 P.M.</t>
  </si>
  <si>
    <t>6 P.M.</t>
  </si>
  <si>
    <t>7 P.M.</t>
  </si>
  <si>
    <t>RESTRICCIÓN DE CAPACIDAD DE MÁQUINAS (≤13)</t>
  </si>
  <si>
    <t>Hora t</t>
  </si>
  <si>
    <t>LHS</t>
  </si>
  <si>
    <t>Máquinas (M)</t>
  </si>
  <si>
    <t>≤</t>
  </si>
  <si>
    <t>RESTRICCIÓN MÍNIMO TRABAJADORES FULL-TIME (≥3)</t>
  </si>
  <si>
    <t>XFT1 + XFT2 + XFT3</t>
  </si>
  <si>
    <t>R. No negatividad: Xs ≥ 0 para todo s  |  Xs ∈ (enteros no negativos)</t>
  </si>
  <si>
    <t xml:space="preserve">Caso: Sunco Oil </t>
  </si>
  <si>
    <t>X11 (Los Angeles-Houston)</t>
  </si>
  <si>
    <t>X12 (Los Angeles-NY)</t>
  </si>
  <si>
    <t>X21 (Chicago-Houston)</t>
  </si>
  <si>
    <t>X22 (Chicago-NY)</t>
  </si>
  <si>
    <t>Y1 (Exp. Los Angeles)</t>
  </si>
  <si>
    <t>Y2 (Exp. Chicago)</t>
  </si>
  <si>
    <t>millones bbl</t>
  </si>
  <si>
    <t>Maximizar ganancia Z</t>
  </si>
  <si>
    <t>Ganancia por cada millón de bbl * 10 años</t>
  </si>
  <si>
    <t>Cap. Los Angeles</t>
  </si>
  <si>
    <t>Cap. Chicago</t>
  </si>
  <si>
    <t>Dem. Houston</t>
  </si>
  <si>
    <t>Dem. New York</t>
  </si>
  <si>
    <t>Interpretación:</t>
  </si>
  <si>
    <t>* Se debe ampliar la refinería de Los Ángeles en 5 millones de capacidad adicional y  no ampliar Chicago.</t>
  </si>
  <si>
    <t>* La ruta más rentable es la de Los Angeles-Houston. Con la expansión se puede enviar 5 millones de bbl/año.</t>
  </si>
  <si>
    <t>* La ruta Chicago-Houston es la menos conveniente en términos de rentabilidad, por lo tanto Solver asinga para esta ruta = 0. Esto se debe a que la demanda máxima de Houston, ya es cubierta en su totalidad por los envíos provenientes de Los Ángeles.</t>
  </si>
  <si>
    <t>Caso: Gotham City Hospital</t>
  </si>
  <si>
    <t>DRG 1</t>
  </si>
  <si>
    <t>DRG 2</t>
  </si>
  <si>
    <t>DRG 3</t>
  </si>
  <si>
    <t>DRG 4</t>
  </si>
  <si>
    <t>Casos atendidos</t>
  </si>
  <si>
    <t>Utilidad</t>
  </si>
  <si>
    <t>Servicios diagnosticos</t>
  </si>
  <si>
    <t>Bed-day</t>
  </si>
  <si>
    <t>Enfermería</t>
  </si>
  <si>
    <t>Medicamentos</t>
  </si>
  <si>
    <t>Demanda DRG 1</t>
  </si>
  <si>
    <t>Demanda DRG 2</t>
  </si>
  <si>
    <t>Demanda DRG 3</t>
  </si>
  <si>
    <t>Demanda DRG 4</t>
  </si>
  <si>
    <t xml:space="preserve">Caso: ciudad de Erstville </t>
  </si>
  <si>
    <t>Concepto</t>
  </si>
  <si>
    <t>Variables de decisión</t>
  </si>
  <si>
    <t>Sencilla x1</t>
  </si>
  <si>
    <t>dobles x2</t>
  </si>
  <si>
    <t>Triples x3</t>
  </si>
  <si>
    <t>Cuádruples x4</t>
  </si>
  <si>
    <t>casas demolidas y</t>
  </si>
  <si>
    <t>impuestos por casas tipo t</t>
  </si>
  <si>
    <t>costo por casa (construcción/demolición)</t>
  </si>
  <si>
    <t>función objetivo</t>
  </si>
  <si>
    <t xml:space="preserve"> &lt;=</t>
  </si>
  <si>
    <t>Formula</t>
  </si>
  <si>
    <t>valor de Restricción</t>
  </si>
  <si>
    <t>Área usada vs área disponible</t>
  </si>
  <si>
    <t>Máximo de casas demolidad</t>
  </si>
  <si>
    <t>Triples y cuádruples mínimo 25% del área</t>
  </si>
  <si>
    <t>Sencillas mínimo 20% del total de unidades</t>
  </si>
  <si>
    <t>Dobles mínimo 10% del área construida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</si>
</sst>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&quot;$&quot;\ #,##0"/>
    <numFmt numFmtId="166" formatCode="_-&quot;$&quot;\ * #,##0_-;\-&quot;$&quot;\ * #,##0_-;_-&quot;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4472C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0" fontId="0" fillId="3" borderId="1" xfId="0" applyFill="1" applyBorder="1"/>
    <xf numFmtId="0" fontId="0" fillId="0" borderId="1" xfId="0" applyBorder="1"/>
    <xf numFmtId="164" fontId="0" fillId="0" borderId="1" xfId="1" applyNumberFormat="1" applyFont="1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164" fontId="0" fillId="0" borderId="1" xfId="1" applyNumberFormat="1" applyFont="1" applyBorder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0" fillId="5" borderId="0" xfId="0" applyFill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  <xf numFmtId="165" fontId="0" fillId="3" borderId="1" xfId="0" applyNumberFormat="1" applyFill="1" applyBorder="1" applyAlignment="1">
      <alignment horizontal="center" vertical="center"/>
    </xf>
    <xf numFmtId="0" fontId="4" fillId="0" borderId="0" xfId="0" applyFont="1"/>
    <xf numFmtId="0" fontId="0" fillId="5" borderId="1" xfId="0" applyFill="1" applyBorder="1" applyAlignment="1">
      <alignment horizontal="center" vertical="center"/>
    </xf>
    <xf numFmtId="0" fontId="5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166" fontId="0" fillId="0" borderId="0" xfId="0" applyNumberFormat="1"/>
    <xf numFmtId="0" fontId="0" fillId="3" borderId="0" xfId="0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2"/>
  <sheetViews>
    <sheetView showGridLines="0" tabSelected="1" workbookViewId="0">
      <selection activeCell="B2" sqref="B2"/>
    </sheetView>
  </sheetViews>
  <sheetFormatPr baseColWidth="10" defaultColWidth="9.140625" defaultRowHeight="15" x14ac:dyDescent="0.25"/>
  <cols>
    <col min="2" max="2" width="27.5703125" customWidth="1"/>
    <col min="3" max="4" width="11.28515625" bestFit="1" customWidth="1"/>
    <col min="5" max="6" width="11.5703125" bestFit="1" customWidth="1"/>
    <col min="9" max="9" width="9.140625" style="6"/>
    <col min="10" max="10" width="10.7109375" bestFit="1" customWidth="1"/>
  </cols>
  <sheetData>
    <row r="2" spans="2:10" ht="18.75" x14ac:dyDescent="0.3">
      <c r="B2" s="13" t="s">
        <v>0</v>
      </c>
    </row>
    <row r="5" spans="2:10" x14ac:dyDescent="0.25">
      <c r="B5" s="4"/>
      <c r="C5" s="4" t="s">
        <v>1</v>
      </c>
      <c r="D5" s="4" t="s">
        <v>2</v>
      </c>
      <c r="E5" s="4" t="s">
        <v>3</v>
      </c>
      <c r="F5" s="4" t="s">
        <v>4</v>
      </c>
    </row>
    <row r="6" spans="2:10" x14ac:dyDescent="0.25">
      <c r="B6" s="4" t="s">
        <v>5</v>
      </c>
      <c r="C6" s="8">
        <v>0</v>
      </c>
      <c r="D6" s="8">
        <v>10.76923076923077</v>
      </c>
      <c r="E6" s="8">
        <v>27.5</v>
      </c>
      <c r="F6" s="8">
        <v>0</v>
      </c>
    </row>
    <row r="7" spans="2:10" x14ac:dyDescent="0.25">
      <c r="B7" s="4"/>
      <c r="C7" s="4"/>
      <c r="D7" s="4"/>
      <c r="E7" s="4"/>
      <c r="F7" s="4"/>
    </row>
    <row r="8" spans="2:10" x14ac:dyDescent="0.25">
      <c r="B8" s="4" t="s">
        <v>6</v>
      </c>
      <c r="C8" s="4">
        <v>100</v>
      </c>
      <c r="D8" s="4">
        <v>120</v>
      </c>
      <c r="E8" s="4">
        <v>90</v>
      </c>
      <c r="F8" s="4">
        <v>80</v>
      </c>
      <c r="H8" s="3">
        <f>SUMPRODUCT($C$6:$F$6,C8:F8)</f>
        <v>3767.3076923076924</v>
      </c>
      <c r="I8" s="7"/>
      <c r="J8" s="4"/>
    </row>
    <row r="9" spans="2:10" x14ac:dyDescent="0.25">
      <c r="B9" s="4" t="s">
        <v>7</v>
      </c>
      <c r="C9" s="4">
        <v>500</v>
      </c>
      <c r="D9" s="4">
        <v>650</v>
      </c>
      <c r="E9" s="4"/>
      <c r="F9" s="4"/>
      <c r="H9" s="4">
        <f>SUMPRODUCT($C$6:$F$6,C9:F9)</f>
        <v>7000.0000000000009</v>
      </c>
      <c r="I9" s="7" t="s">
        <v>8</v>
      </c>
      <c r="J9" s="5">
        <v>7000</v>
      </c>
    </row>
    <row r="10" spans="2:10" x14ac:dyDescent="0.25">
      <c r="B10" s="4" t="s">
        <v>9</v>
      </c>
      <c r="C10" s="4"/>
      <c r="D10" s="4"/>
      <c r="E10" s="4">
        <v>400</v>
      </c>
      <c r="F10" s="4">
        <v>350</v>
      </c>
      <c r="H10" s="4">
        <f>SUMPRODUCT($C$6:$F$6,C10:F10)</f>
        <v>11000</v>
      </c>
      <c r="I10" s="7" t="s">
        <v>8</v>
      </c>
      <c r="J10" s="5">
        <v>11000</v>
      </c>
    </row>
    <row r="11" spans="2:10" x14ac:dyDescent="0.25">
      <c r="B11" s="4" t="s">
        <v>10</v>
      </c>
      <c r="C11" s="4">
        <v>1</v>
      </c>
      <c r="D11" s="4"/>
      <c r="E11" s="4">
        <v>1</v>
      </c>
      <c r="F11" s="4"/>
      <c r="H11" s="4">
        <f t="shared" ref="H11:H12" si="0">SUMPRODUCT($C$6:$F$6,C11:F11)</f>
        <v>27.5</v>
      </c>
      <c r="I11" s="7" t="s">
        <v>11</v>
      </c>
      <c r="J11" s="5">
        <v>100</v>
      </c>
    </row>
    <row r="12" spans="2:10" x14ac:dyDescent="0.25">
      <c r="B12" s="4" t="s">
        <v>12</v>
      </c>
      <c r="C12" s="4"/>
      <c r="D12" s="4">
        <v>1</v>
      </c>
      <c r="E12" s="4"/>
      <c r="F12" s="4">
        <v>1</v>
      </c>
      <c r="H12" s="4">
        <f t="shared" si="0"/>
        <v>10.76923076923077</v>
      </c>
      <c r="I12" s="7" t="s">
        <v>11</v>
      </c>
      <c r="J12" s="5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A1165-7269-404B-8BDC-1296B922F41C}">
  <dimension ref="B2:M38"/>
  <sheetViews>
    <sheetView showGridLines="0" workbookViewId="0">
      <selection activeCell="B9" sqref="B9"/>
    </sheetView>
  </sheetViews>
  <sheetFormatPr baseColWidth="10" defaultColWidth="9.140625" defaultRowHeight="15" x14ac:dyDescent="0.25"/>
  <cols>
    <col min="2" max="2" width="23.5703125" customWidth="1"/>
    <col min="3" max="3" width="10.140625" customWidth="1"/>
    <col min="4" max="4" width="10.5703125" customWidth="1"/>
    <col min="5" max="5" width="11.28515625" customWidth="1"/>
    <col min="6" max="6" width="9.85546875" customWidth="1"/>
    <col min="7" max="7" width="10.140625" customWidth="1"/>
  </cols>
  <sheetData>
    <row r="2" spans="2:13" ht="18.75" x14ac:dyDescent="0.3">
      <c r="B2" s="13" t="s">
        <v>13</v>
      </c>
    </row>
    <row r="3" spans="2:13" s="15" customFormat="1" ht="18.75" x14ac:dyDescent="0.3">
      <c r="B3" s="14"/>
    </row>
    <row r="4" spans="2:13" ht="45" x14ac:dyDescent="0.25"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</row>
    <row r="5" spans="2:13" x14ac:dyDescent="0.25">
      <c r="B5" t="s">
        <v>19</v>
      </c>
      <c r="C5" s="25">
        <v>0</v>
      </c>
      <c r="D5" s="25">
        <v>1</v>
      </c>
      <c r="E5" s="25">
        <v>5</v>
      </c>
      <c r="F5" s="25">
        <v>4</v>
      </c>
      <c r="G5" s="25">
        <v>1</v>
      </c>
    </row>
    <row r="7" spans="2:13" x14ac:dyDescent="0.25">
      <c r="B7" t="s">
        <v>20</v>
      </c>
      <c r="C7">
        <v>160</v>
      </c>
      <c r="D7">
        <v>160</v>
      </c>
      <c r="E7">
        <v>160</v>
      </c>
      <c r="F7">
        <v>75</v>
      </c>
      <c r="G7">
        <v>75</v>
      </c>
      <c r="I7" s="25" t="s">
        <v>21</v>
      </c>
    </row>
    <row r="9" spans="2:13" x14ac:dyDescent="0.25">
      <c r="B9" s="22" t="s">
        <v>22</v>
      </c>
    </row>
    <row r="10" spans="2:13" x14ac:dyDescent="0.25">
      <c r="B10" t="s">
        <v>23</v>
      </c>
      <c r="C10" t="s">
        <v>24</v>
      </c>
      <c r="D10" t="s">
        <v>25</v>
      </c>
      <c r="E10" t="s">
        <v>26</v>
      </c>
      <c r="F10" t="s">
        <v>27</v>
      </c>
      <c r="G10" t="s">
        <v>28</v>
      </c>
      <c r="H10" t="s">
        <v>29</v>
      </c>
      <c r="I10" t="s">
        <v>30</v>
      </c>
      <c r="J10" t="s">
        <v>31</v>
      </c>
      <c r="K10" t="s">
        <v>32</v>
      </c>
      <c r="M10" t="s">
        <v>33</v>
      </c>
    </row>
    <row r="11" spans="2:13" x14ac:dyDescent="0.25">
      <c r="B11" t="s">
        <v>34</v>
      </c>
      <c r="C11">
        <v>1</v>
      </c>
      <c r="H11">
        <v>5000</v>
      </c>
      <c r="I11" s="2">
        <v>5000</v>
      </c>
      <c r="J11" t="s">
        <v>31</v>
      </c>
      <c r="K11">
        <v>0</v>
      </c>
      <c r="M11" s="2">
        <v>5000</v>
      </c>
    </row>
    <row r="12" spans="2:13" x14ac:dyDescent="0.25">
      <c r="B12" t="s">
        <v>35</v>
      </c>
      <c r="C12">
        <v>1</v>
      </c>
      <c r="D12">
        <v>1</v>
      </c>
      <c r="H12">
        <v>4000</v>
      </c>
      <c r="I12" s="2">
        <v>8500</v>
      </c>
      <c r="J12" t="s">
        <v>31</v>
      </c>
      <c r="K12">
        <v>0</v>
      </c>
      <c r="M12" s="2">
        <v>8500</v>
      </c>
    </row>
    <row r="13" spans="2:13" x14ac:dyDescent="0.25">
      <c r="B13" t="s">
        <v>36</v>
      </c>
      <c r="C13">
        <v>1</v>
      </c>
      <c r="D13">
        <v>1</v>
      </c>
      <c r="E13">
        <v>1</v>
      </c>
      <c r="H13">
        <v>3000</v>
      </c>
      <c r="I13" s="2">
        <v>8500</v>
      </c>
      <c r="J13" t="s">
        <v>31</v>
      </c>
      <c r="K13">
        <v>0</v>
      </c>
      <c r="M13" s="2">
        <v>8500</v>
      </c>
    </row>
    <row r="14" spans="2:13" x14ac:dyDescent="0.25">
      <c r="B14" t="s">
        <v>37</v>
      </c>
      <c r="C14">
        <v>1</v>
      </c>
      <c r="D14">
        <v>1</v>
      </c>
      <c r="E14">
        <v>1</v>
      </c>
      <c r="H14">
        <v>4000</v>
      </c>
      <c r="I14" s="2">
        <v>9500</v>
      </c>
      <c r="J14" t="s">
        <v>31</v>
      </c>
      <c r="K14">
        <v>0</v>
      </c>
      <c r="M14" s="2">
        <v>9500</v>
      </c>
    </row>
    <row r="15" spans="2:13" x14ac:dyDescent="0.25">
      <c r="B15" t="s">
        <v>38</v>
      </c>
      <c r="C15">
        <v>1</v>
      </c>
      <c r="D15">
        <v>1</v>
      </c>
      <c r="E15">
        <v>1</v>
      </c>
      <c r="F15">
        <v>1</v>
      </c>
      <c r="H15">
        <v>2500</v>
      </c>
      <c r="I15" s="2">
        <v>7000</v>
      </c>
      <c r="J15" t="s">
        <v>31</v>
      </c>
      <c r="K15">
        <v>0</v>
      </c>
      <c r="M15" s="2">
        <v>7000</v>
      </c>
    </row>
    <row r="16" spans="2:13" x14ac:dyDescent="0.25">
      <c r="B16" t="s">
        <v>39</v>
      </c>
      <c r="C16">
        <v>1</v>
      </c>
      <c r="D16">
        <v>1</v>
      </c>
      <c r="E16">
        <v>1</v>
      </c>
      <c r="F16">
        <v>1</v>
      </c>
      <c r="G16">
        <v>1</v>
      </c>
      <c r="H16">
        <v>3000</v>
      </c>
      <c r="I16" s="2">
        <v>4500</v>
      </c>
      <c r="J16" t="s">
        <v>31</v>
      </c>
      <c r="K16">
        <v>0</v>
      </c>
      <c r="M16" s="2">
        <v>4500</v>
      </c>
    </row>
    <row r="17" spans="2:13" x14ac:dyDescent="0.25">
      <c r="B17" t="s">
        <v>40</v>
      </c>
      <c r="C17">
        <v>1</v>
      </c>
      <c r="D17">
        <v>1</v>
      </c>
      <c r="E17">
        <v>1</v>
      </c>
      <c r="F17">
        <v>1</v>
      </c>
      <c r="G17">
        <v>1</v>
      </c>
      <c r="H17">
        <v>4000</v>
      </c>
      <c r="I17" s="2">
        <v>3000</v>
      </c>
      <c r="J17" t="s">
        <v>31</v>
      </c>
      <c r="K17">
        <v>0</v>
      </c>
      <c r="M17" s="2">
        <v>3000</v>
      </c>
    </row>
    <row r="18" spans="2:13" x14ac:dyDescent="0.25">
      <c r="B18" t="s">
        <v>41</v>
      </c>
      <c r="C18">
        <v>1</v>
      </c>
      <c r="D18">
        <v>1</v>
      </c>
      <c r="E18">
        <v>1</v>
      </c>
      <c r="F18">
        <v>1</v>
      </c>
      <c r="G18">
        <v>1</v>
      </c>
      <c r="H18">
        <v>4500</v>
      </c>
      <c r="I18" s="2">
        <v>2000</v>
      </c>
      <c r="J18" t="s">
        <v>31</v>
      </c>
      <c r="K18">
        <v>0</v>
      </c>
      <c r="M18" s="2">
        <v>2000</v>
      </c>
    </row>
    <row r="19" spans="2:13" x14ac:dyDescent="0.25">
      <c r="B19" t="s">
        <v>42</v>
      </c>
      <c r="D19">
        <v>1</v>
      </c>
      <c r="E19">
        <v>1</v>
      </c>
      <c r="F19">
        <v>1</v>
      </c>
      <c r="G19">
        <v>1</v>
      </c>
      <c r="H19">
        <v>3500</v>
      </c>
      <c r="I19">
        <v>0</v>
      </c>
      <c r="J19" t="s">
        <v>31</v>
      </c>
      <c r="K19">
        <v>0</v>
      </c>
      <c r="M19">
        <v>0</v>
      </c>
    </row>
    <row r="20" spans="2:13" x14ac:dyDescent="0.25">
      <c r="B20" t="s">
        <v>43</v>
      </c>
      <c r="E20">
        <v>1</v>
      </c>
      <c r="G20">
        <v>1</v>
      </c>
      <c r="H20">
        <v>3000</v>
      </c>
      <c r="I20">
        <v>0</v>
      </c>
      <c r="J20" t="s">
        <v>31</v>
      </c>
      <c r="K20">
        <v>0</v>
      </c>
      <c r="M20">
        <v>0</v>
      </c>
    </row>
    <row r="22" spans="2:13" x14ac:dyDescent="0.25">
      <c r="B22" s="22" t="s">
        <v>44</v>
      </c>
    </row>
    <row r="23" spans="2:13" x14ac:dyDescent="0.25">
      <c r="B23" t="s">
        <v>45</v>
      </c>
      <c r="C23" t="s">
        <v>24</v>
      </c>
      <c r="D23" t="s">
        <v>25</v>
      </c>
      <c r="E23" t="s">
        <v>26</v>
      </c>
      <c r="F23" t="s">
        <v>27</v>
      </c>
      <c r="G23" t="s">
        <v>28</v>
      </c>
      <c r="I23" t="s">
        <v>46</v>
      </c>
      <c r="K23" t="s">
        <v>47</v>
      </c>
    </row>
    <row r="24" spans="2:13" x14ac:dyDescent="0.25">
      <c r="B24" t="s">
        <v>34</v>
      </c>
      <c r="C24">
        <v>1</v>
      </c>
      <c r="I24">
        <v>0</v>
      </c>
      <c r="J24" t="s">
        <v>48</v>
      </c>
      <c r="K24">
        <v>13</v>
      </c>
    </row>
    <row r="25" spans="2:13" x14ac:dyDescent="0.25">
      <c r="B25" t="s">
        <v>35</v>
      </c>
      <c r="C25">
        <v>1</v>
      </c>
      <c r="D25">
        <v>1</v>
      </c>
      <c r="I25">
        <v>1</v>
      </c>
      <c r="J25" t="s">
        <v>48</v>
      </c>
      <c r="K25">
        <v>13</v>
      </c>
    </row>
    <row r="26" spans="2:13" x14ac:dyDescent="0.25">
      <c r="B26" t="s">
        <v>36</v>
      </c>
      <c r="C26">
        <v>1</v>
      </c>
      <c r="D26">
        <v>1</v>
      </c>
      <c r="E26">
        <v>1</v>
      </c>
      <c r="I26">
        <v>6</v>
      </c>
      <c r="J26" t="s">
        <v>48</v>
      </c>
      <c r="K26">
        <v>13</v>
      </c>
    </row>
    <row r="27" spans="2:13" x14ac:dyDescent="0.25">
      <c r="B27" t="s">
        <v>37</v>
      </c>
      <c r="C27">
        <v>1</v>
      </c>
      <c r="D27">
        <v>1</v>
      </c>
      <c r="E27">
        <v>1</v>
      </c>
      <c r="I27">
        <v>6</v>
      </c>
      <c r="J27" t="s">
        <v>48</v>
      </c>
      <c r="K27">
        <v>13</v>
      </c>
    </row>
    <row r="28" spans="2:13" x14ac:dyDescent="0.25">
      <c r="B28" t="s">
        <v>38</v>
      </c>
      <c r="C28">
        <v>1</v>
      </c>
      <c r="D28">
        <v>1</v>
      </c>
      <c r="E28">
        <v>1</v>
      </c>
      <c r="F28">
        <v>1</v>
      </c>
      <c r="I28">
        <v>10</v>
      </c>
      <c r="J28" t="s">
        <v>48</v>
      </c>
      <c r="K28">
        <v>13</v>
      </c>
    </row>
    <row r="29" spans="2:13" x14ac:dyDescent="0.25">
      <c r="B29" t="s">
        <v>39</v>
      </c>
      <c r="C29">
        <v>1</v>
      </c>
      <c r="D29">
        <v>1</v>
      </c>
      <c r="E29">
        <v>1</v>
      </c>
      <c r="F29">
        <v>1</v>
      </c>
      <c r="G29">
        <v>1</v>
      </c>
      <c r="I29">
        <v>11</v>
      </c>
      <c r="J29" t="s">
        <v>48</v>
      </c>
      <c r="K29">
        <v>13</v>
      </c>
    </row>
    <row r="30" spans="2:13" x14ac:dyDescent="0.25">
      <c r="B30" t="s">
        <v>40</v>
      </c>
      <c r="C30">
        <v>1</v>
      </c>
      <c r="D30">
        <v>1</v>
      </c>
      <c r="E30">
        <v>1</v>
      </c>
      <c r="F30">
        <v>1</v>
      </c>
      <c r="G30">
        <v>1</v>
      </c>
      <c r="I30">
        <v>11</v>
      </c>
      <c r="J30" t="s">
        <v>48</v>
      </c>
      <c r="K30">
        <v>13</v>
      </c>
    </row>
    <row r="31" spans="2:13" x14ac:dyDescent="0.25">
      <c r="B31" t="s">
        <v>41</v>
      </c>
      <c r="C31">
        <v>1</v>
      </c>
      <c r="D31">
        <v>1</v>
      </c>
      <c r="E31">
        <v>1</v>
      </c>
      <c r="F31">
        <v>1</v>
      </c>
      <c r="G31">
        <v>1</v>
      </c>
      <c r="I31">
        <v>11</v>
      </c>
      <c r="J31" t="s">
        <v>48</v>
      </c>
      <c r="K31">
        <v>13</v>
      </c>
    </row>
    <row r="32" spans="2:13" x14ac:dyDescent="0.25">
      <c r="B32" t="s">
        <v>42</v>
      </c>
      <c r="D32">
        <v>1</v>
      </c>
      <c r="E32">
        <v>1</v>
      </c>
      <c r="F32">
        <v>1</v>
      </c>
      <c r="G32">
        <v>1</v>
      </c>
      <c r="I32">
        <v>11</v>
      </c>
      <c r="J32" t="s">
        <v>48</v>
      </c>
      <c r="K32">
        <v>13</v>
      </c>
    </row>
    <row r="33" spans="2:11" x14ac:dyDescent="0.25">
      <c r="B33" t="s">
        <v>43</v>
      </c>
      <c r="E33">
        <v>1</v>
      </c>
      <c r="G33">
        <v>1</v>
      </c>
      <c r="I33">
        <v>6</v>
      </c>
      <c r="J33" t="s">
        <v>48</v>
      </c>
      <c r="K33">
        <v>13</v>
      </c>
    </row>
    <row r="35" spans="2:11" x14ac:dyDescent="0.25">
      <c r="B35" s="22" t="s">
        <v>49</v>
      </c>
    </row>
    <row r="36" spans="2:11" x14ac:dyDescent="0.25">
      <c r="B36" t="s">
        <v>50</v>
      </c>
      <c r="C36">
        <v>1</v>
      </c>
      <c r="D36">
        <v>1</v>
      </c>
      <c r="E36">
        <v>1</v>
      </c>
      <c r="I36">
        <v>6</v>
      </c>
      <c r="J36" t="s">
        <v>31</v>
      </c>
      <c r="K36">
        <v>3</v>
      </c>
    </row>
    <row r="38" spans="2:11" x14ac:dyDescent="0.25">
      <c r="B38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E4E42-E5F1-4BBF-B65E-067FDDD07EA4}">
  <dimension ref="B2:N18"/>
  <sheetViews>
    <sheetView showGridLines="0" workbookViewId="0">
      <selection activeCell="O11" sqref="O11"/>
    </sheetView>
  </sheetViews>
  <sheetFormatPr baseColWidth="10" defaultColWidth="9.140625" defaultRowHeight="15" x14ac:dyDescent="0.25"/>
  <cols>
    <col min="1" max="1" width="8.28515625" customWidth="1"/>
    <col min="2" max="2" width="28.42578125" customWidth="1"/>
    <col min="3" max="3" width="26" customWidth="1"/>
    <col min="4" max="4" width="24.28515625" customWidth="1"/>
    <col min="5" max="5" width="25.42578125" customWidth="1"/>
    <col min="6" max="6" width="18" customWidth="1"/>
    <col min="7" max="7" width="25.28515625" customWidth="1"/>
    <col min="8" max="8" width="18" customWidth="1"/>
    <col min="9" max="9" width="6.28515625" customWidth="1"/>
    <col min="10" max="10" width="19.28515625" customWidth="1"/>
    <col min="11" max="11" width="9.140625" style="6" customWidth="1"/>
    <col min="13" max="13" width="6.140625" style="6" customWidth="1"/>
  </cols>
  <sheetData>
    <row r="2" spans="2:14" ht="18.75" x14ac:dyDescent="0.3">
      <c r="B2" s="13" t="s">
        <v>52</v>
      </c>
    </row>
    <row r="4" spans="2:14" x14ac:dyDescent="0.25">
      <c r="B4" s="4"/>
      <c r="C4" s="7" t="s">
        <v>53</v>
      </c>
      <c r="D4" s="7" t="s">
        <v>54</v>
      </c>
      <c r="E4" s="7" t="s">
        <v>55</v>
      </c>
      <c r="F4" s="7" t="s">
        <v>56</v>
      </c>
      <c r="G4" s="7" t="s">
        <v>57</v>
      </c>
      <c r="H4" s="7" t="s">
        <v>58</v>
      </c>
      <c r="L4" s="6"/>
    </row>
    <row r="5" spans="2:14" x14ac:dyDescent="0.25">
      <c r="B5" s="16" t="s">
        <v>59</v>
      </c>
      <c r="C5" s="9">
        <v>5</v>
      </c>
      <c r="D5" s="9">
        <v>2</v>
      </c>
      <c r="E5" s="9">
        <v>0</v>
      </c>
      <c r="F5" s="9">
        <v>3</v>
      </c>
      <c r="G5" s="9">
        <v>5</v>
      </c>
      <c r="H5" s="9">
        <v>0</v>
      </c>
      <c r="J5" s="4" t="s">
        <v>60</v>
      </c>
      <c r="L5" s="6"/>
    </row>
    <row r="6" spans="2:14" ht="30" x14ac:dyDescent="0.25">
      <c r="B6" s="20" t="s">
        <v>61</v>
      </c>
      <c r="C6" s="17">
        <f>20000*10</f>
        <v>200000</v>
      </c>
      <c r="D6" s="17">
        <f>15000*10</f>
        <v>150000</v>
      </c>
      <c r="E6" s="17">
        <f>18000*10</f>
        <v>180000</v>
      </c>
      <c r="F6" s="17">
        <f>17000*10</f>
        <v>170000</v>
      </c>
      <c r="G6" s="17">
        <v>-120000</v>
      </c>
      <c r="H6" s="17">
        <v>-150000</v>
      </c>
      <c r="J6" s="21">
        <f>SUMPRODUCT($C$5:$H$5,C6:H6)</f>
        <v>1210000</v>
      </c>
      <c r="K6" s="23"/>
      <c r="L6" s="7"/>
      <c r="M6" s="7"/>
    </row>
    <row r="7" spans="2:14" x14ac:dyDescent="0.25">
      <c r="B7" s="18" t="s">
        <v>62</v>
      </c>
      <c r="C7" s="19">
        <v>1</v>
      </c>
      <c r="D7" s="19">
        <v>1</v>
      </c>
      <c r="E7" s="19"/>
      <c r="F7" s="19"/>
      <c r="G7" s="19">
        <v>-1</v>
      </c>
      <c r="H7" s="19"/>
      <c r="J7" s="4" t="s">
        <v>62</v>
      </c>
      <c r="K7" s="7">
        <f>SUMPRODUCT($C$5:$H$5,C7:H7)</f>
        <v>2</v>
      </c>
      <c r="L7" s="7" t="s">
        <v>11</v>
      </c>
      <c r="M7" s="12">
        <v>2</v>
      </c>
    </row>
    <row r="8" spans="2:14" x14ac:dyDescent="0.25">
      <c r="B8" s="18" t="s">
        <v>63</v>
      </c>
      <c r="C8" s="19"/>
      <c r="D8" s="19"/>
      <c r="E8" s="19">
        <v>1</v>
      </c>
      <c r="F8" s="19">
        <v>1</v>
      </c>
      <c r="G8" s="19"/>
      <c r="H8" s="19">
        <v>-1</v>
      </c>
      <c r="J8" s="4" t="s">
        <v>63</v>
      </c>
      <c r="K8" s="7">
        <f>SUMPRODUCT($C$5:$H$5,C8:H8)</f>
        <v>3</v>
      </c>
      <c r="L8" s="7" t="s">
        <v>11</v>
      </c>
      <c r="M8" s="12">
        <v>3</v>
      </c>
    </row>
    <row r="9" spans="2:14" x14ac:dyDescent="0.25">
      <c r="B9" s="18" t="s">
        <v>64</v>
      </c>
      <c r="C9" s="19">
        <v>1</v>
      </c>
      <c r="D9" s="19"/>
      <c r="E9" s="19">
        <v>1</v>
      </c>
      <c r="F9" s="19"/>
      <c r="G9" s="19"/>
      <c r="H9" s="19"/>
      <c r="J9" s="4" t="s">
        <v>64</v>
      </c>
      <c r="K9" s="7">
        <f t="shared" ref="K9:K10" si="0">SUMPRODUCT($C$5:$H$5,C9:H9)</f>
        <v>5</v>
      </c>
      <c r="L9" s="7" t="s">
        <v>11</v>
      </c>
      <c r="M9" s="12">
        <v>5</v>
      </c>
    </row>
    <row r="10" spans="2:14" x14ac:dyDescent="0.25">
      <c r="B10" s="18" t="s">
        <v>65</v>
      </c>
      <c r="C10" s="19"/>
      <c r="D10" s="19">
        <v>1</v>
      </c>
      <c r="E10" s="19"/>
      <c r="F10" s="19">
        <v>1</v>
      </c>
      <c r="G10" s="19"/>
      <c r="H10" s="19"/>
      <c r="J10" s="4" t="s">
        <v>65</v>
      </c>
      <c r="K10" s="7">
        <f t="shared" si="0"/>
        <v>5</v>
      </c>
      <c r="L10" s="7" t="s">
        <v>11</v>
      </c>
      <c r="M10" s="12">
        <v>5</v>
      </c>
    </row>
    <row r="13" spans="2:14" x14ac:dyDescent="0.25">
      <c r="N13" s="24"/>
    </row>
    <row r="15" spans="2:14" x14ac:dyDescent="0.25">
      <c r="B15" s="22" t="s">
        <v>66</v>
      </c>
    </row>
    <row r="16" spans="2:14" x14ac:dyDescent="0.25">
      <c r="B16" t="s">
        <v>67</v>
      </c>
    </row>
    <row r="17" spans="2:2" x14ac:dyDescent="0.25">
      <c r="B17" t="s">
        <v>68</v>
      </c>
    </row>
    <row r="18" spans="2:2" x14ac:dyDescent="0.25">
      <c r="B18" t="s">
        <v>69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86E77-4F0C-4E50-90B1-6DCCECACCAB8}">
  <dimension ref="B2:J15"/>
  <sheetViews>
    <sheetView showGridLines="0" workbookViewId="0">
      <selection activeCell="B2" sqref="B2"/>
    </sheetView>
  </sheetViews>
  <sheetFormatPr baseColWidth="10" defaultColWidth="11.42578125" defaultRowHeight="15" x14ac:dyDescent="0.25"/>
  <cols>
    <col min="2" max="2" width="32.85546875" style="11" customWidth="1"/>
    <col min="9" max="10" width="11.42578125" style="6"/>
  </cols>
  <sheetData>
    <row r="2" spans="2:10" ht="18.75" x14ac:dyDescent="0.3">
      <c r="B2" s="13" t="s">
        <v>70</v>
      </c>
    </row>
    <row r="4" spans="2:10" x14ac:dyDescent="0.25">
      <c r="B4" s="10"/>
      <c r="C4" s="7" t="s">
        <v>71</v>
      </c>
      <c r="D4" s="7" t="s">
        <v>72</v>
      </c>
      <c r="E4" s="7" t="s">
        <v>73</v>
      </c>
      <c r="F4" s="7" t="s">
        <v>74</v>
      </c>
    </row>
    <row r="5" spans="2:10" x14ac:dyDescent="0.25">
      <c r="B5" s="10" t="s">
        <v>75</v>
      </c>
      <c r="C5" s="9">
        <v>10</v>
      </c>
      <c r="D5" s="9">
        <v>50</v>
      </c>
      <c r="E5" s="9">
        <v>40</v>
      </c>
      <c r="F5" s="9">
        <v>220</v>
      </c>
    </row>
    <row r="6" spans="2:10" x14ac:dyDescent="0.25">
      <c r="B6" s="10"/>
      <c r="C6" s="7"/>
      <c r="D6" s="7"/>
      <c r="E6" s="7"/>
      <c r="F6" s="7"/>
    </row>
    <row r="7" spans="2:10" x14ac:dyDescent="0.25">
      <c r="B7" s="10" t="s">
        <v>76</v>
      </c>
      <c r="C7" s="7">
        <v>2000</v>
      </c>
      <c r="D7" s="7">
        <v>1500</v>
      </c>
      <c r="E7" s="7">
        <v>500</v>
      </c>
      <c r="F7" s="7">
        <v>300</v>
      </c>
      <c r="H7" s="3">
        <f t="shared" ref="H7:H12" si="0">SUMPRODUCT($C$5:$F$5,C7:F7)</f>
        <v>181000</v>
      </c>
      <c r="I7" s="7"/>
      <c r="J7" s="7"/>
    </row>
    <row r="8" spans="2:10" x14ac:dyDescent="0.25">
      <c r="B8" s="10" t="s">
        <v>77</v>
      </c>
      <c r="C8" s="7">
        <v>7</v>
      </c>
      <c r="D8" s="7">
        <v>4</v>
      </c>
      <c r="E8" s="7">
        <v>2</v>
      </c>
      <c r="F8" s="7">
        <v>1</v>
      </c>
      <c r="H8" s="4">
        <f t="shared" si="0"/>
        <v>570</v>
      </c>
      <c r="I8" s="7" t="s">
        <v>11</v>
      </c>
      <c r="J8" s="12">
        <v>570</v>
      </c>
    </row>
    <row r="9" spans="2:10" x14ac:dyDescent="0.25">
      <c r="B9" s="10" t="s">
        <v>78</v>
      </c>
      <c r="C9" s="7">
        <v>5</v>
      </c>
      <c r="D9" s="7">
        <v>2</v>
      </c>
      <c r="E9" s="7">
        <v>1</v>
      </c>
      <c r="F9" s="7">
        <v>0</v>
      </c>
      <c r="H9" s="4">
        <f t="shared" si="0"/>
        <v>190</v>
      </c>
      <c r="I9" s="7" t="s">
        <v>11</v>
      </c>
      <c r="J9" s="12">
        <v>1000</v>
      </c>
    </row>
    <row r="10" spans="2:10" x14ac:dyDescent="0.25">
      <c r="B10" s="10" t="s">
        <v>79</v>
      </c>
      <c r="C10" s="7">
        <v>30</v>
      </c>
      <c r="D10" s="7">
        <v>10</v>
      </c>
      <c r="E10" s="7">
        <v>5</v>
      </c>
      <c r="F10" s="7">
        <v>1</v>
      </c>
      <c r="H10" s="4">
        <f t="shared" si="0"/>
        <v>1220</v>
      </c>
      <c r="I10" s="7" t="s">
        <v>11</v>
      </c>
      <c r="J10" s="12">
        <v>50000</v>
      </c>
    </row>
    <row r="11" spans="2:10" x14ac:dyDescent="0.25">
      <c r="B11" s="10" t="s">
        <v>80</v>
      </c>
      <c r="C11" s="7">
        <v>800</v>
      </c>
      <c r="D11" s="7">
        <v>500</v>
      </c>
      <c r="E11" s="7">
        <v>150</v>
      </c>
      <c r="F11" s="7">
        <v>50</v>
      </c>
      <c r="H11" s="4">
        <f t="shared" si="0"/>
        <v>50000</v>
      </c>
      <c r="I11" s="7" t="s">
        <v>11</v>
      </c>
      <c r="J11" s="12">
        <v>50000</v>
      </c>
    </row>
    <row r="12" spans="2:10" x14ac:dyDescent="0.25">
      <c r="B12" s="10" t="s">
        <v>81</v>
      </c>
      <c r="C12" s="7">
        <v>1</v>
      </c>
      <c r="D12" s="7"/>
      <c r="E12" s="7"/>
      <c r="F12" s="7"/>
      <c r="H12" s="4">
        <f t="shared" si="0"/>
        <v>10</v>
      </c>
      <c r="I12" s="7" t="s">
        <v>8</v>
      </c>
      <c r="J12" s="12">
        <v>10</v>
      </c>
    </row>
    <row r="13" spans="2:10" x14ac:dyDescent="0.25">
      <c r="B13" s="10" t="s">
        <v>82</v>
      </c>
      <c r="C13" s="7"/>
      <c r="D13" s="7">
        <v>1</v>
      </c>
      <c r="E13" s="7"/>
      <c r="F13" s="7"/>
      <c r="H13" s="4">
        <f t="shared" ref="H13:H15" si="1">SUMPRODUCT($C$5:$F$5,C13:F13)</f>
        <v>50</v>
      </c>
      <c r="I13" s="7" t="s">
        <v>8</v>
      </c>
      <c r="J13" s="12">
        <v>15</v>
      </c>
    </row>
    <row r="14" spans="2:10" x14ac:dyDescent="0.25">
      <c r="B14" s="10" t="s">
        <v>83</v>
      </c>
      <c r="C14" s="7"/>
      <c r="D14" s="7"/>
      <c r="E14" s="7">
        <v>1</v>
      </c>
      <c r="F14" s="7"/>
      <c r="H14" s="4">
        <f t="shared" si="1"/>
        <v>40</v>
      </c>
      <c r="I14" s="7" t="s">
        <v>8</v>
      </c>
      <c r="J14" s="12">
        <v>40</v>
      </c>
    </row>
    <row r="15" spans="2:10" x14ac:dyDescent="0.25">
      <c r="B15" s="10" t="s">
        <v>84</v>
      </c>
      <c r="C15" s="7"/>
      <c r="D15" s="7"/>
      <c r="E15" s="7"/>
      <c r="F15" s="7">
        <v>1</v>
      </c>
      <c r="H15" s="4">
        <f t="shared" si="1"/>
        <v>220</v>
      </c>
      <c r="I15" s="7" t="s">
        <v>8</v>
      </c>
      <c r="J15" s="12">
        <v>160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1783A-9AA8-48F6-8DFA-1B814D7C09FD}">
  <dimension ref="A2:K16"/>
  <sheetViews>
    <sheetView showGridLines="0" workbookViewId="0">
      <selection activeCell="I10" sqref="I10"/>
    </sheetView>
  </sheetViews>
  <sheetFormatPr baseColWidth="10" defaultColWidth="11.42578125" defaultRowHeight="15" x14ac:dyDescent="0.25"/>
  <cols>
    <col min="1" max="1" width="20" customWidth="1"/>
    <col min="2" max="2" width="35.140625" customWidth="1"/>
    <col min="6" max="6" width="15.28515625" customWidth="1"/>
    <col min="7" max="7" width="15.140625" customWidth="1"/>
    <col min="11" max="11" width="15.28515625" bestFit="1" customWidth="1"/>
  </cols>
  <sheetData>
    <row r="2" spans="1:11" ht="18.75" x14ac:dyDescent="0.3">
      <c r="B2" s="13" t="s">
        <v>85</v>
      </c>
    </row>
    <row r="7" spans="1:11" x14ac:dyDescent="0.25">
      <c r="B7" t="s">
        <v>86</v>
      </c>
      <c r="C7" s="6" t="s">
        <v>88</v>
      </c>
      <c r="D7" s="6" t="s">
        <v>89</v>
      </c>
      <c r="E7" s="6" t="s">
        <v>90</v>
      </c>
      <c r="F7" s="6" t="s">
        <v>91</v>
      </c>
      <c r="G7" s="6" t="s">
        <v>92</v>
      </c>
      <c r="H7" s="6"/>
    </row>
    <row r="8" spans="1:11" x14ac:dyDescent="0.25">
      <c r="B8" t="s">
        <v>87</v>
      </c>
      <c r="C8" s="27">
        <v>37</v>
      </c>
      <c r="D8" s="27">
        <v>119</v>
      </c>
      <c r="E8" s="27">
        <v>1</v>
      </c>
      <c r="F8" s="27">
        <v>26</v>
      </c>
      <c r="G8" s="27">
        <v>265</v>
      </c>
      <c r="H8" s="6"/>
      <c r="I8" t="s">
        <v>97</v>
      </c>
      <c r="K8" t="s">
        <v>98</v>
      </c>
    </row>
    <row r="9" spans="1:11" x14ac:dyDescent="0.25">
      <c r="C9" s="6"/>
      <c r="D9" s="6"/>
      <c r="E9" s="6"/>
      <c r="F9" s="6"/>
      <c r="G9" s="6"/>
      <c r="H9" s="6"/>
    </row>
    <row r="10" spans="1:11" x14ac:dyDescent="0.25">
      <c r="A10" t="s">
        <v>95</v>
      </c>
      <c r="B10" t="s">
        <v>93</v>
      </c>
      <c r="C10" s="6">
        <v>1000</v>
      </c>
      <c r="D10" s="6">
        <v>1900</v>
      </c>
      <c r="E10" s="6">
        <v>2700</v>
      </c>
      <c r="F10" s="6">
        <v>3400</v>
      </c>
      <c r="G10" s="6">
        <v>0</v>
      </c>
      <c r="H10" s="6"/>
      <c r="I10" s="29">
        <f t="shared" ref="I10:I16" si="0">+SUMPRODUCT($C$8:$G$8,C10:G10)</f>
        <v>354200</v>
      </c>
    </row>
    <row r="11" spans="1:11" x14ac:dyDescent="0.25">
      <c r="B11" t="s">
        <v>94</v>
      </c>
      <c r="C11" s="6">
        <v>50000</v>
      </c>
      <c r="D11" s="6">
        <v>70000</v>
      </c>
      <c r="E11" s="6">
        <v>130000</v>
      </c>
      <c r="F11" s="6">
        <v>160000</v>
      </c>
      <c r="G11" s="6">
        <v>2000</v>
      </c>
      <c r="H11" s="6"/>
      <c r="I11">
        <f t="shared" si="0"/>
        <v>15000000</v>
      </c>
      <c r="J11" s="26" t="s">
        <v>96</v>
      </c>
      <c r="K11" s="28">
        <v>15000000</v>
      </c>
    </row>
    <row r="12" spans="1:11" x14ac:dyDescent="0.25">
      <c r="B12" t="s">
        <v>99</v>
      </c>
      <c r="C12" s="6">
        <v>0.18</v>
      </c>
      <c r="D12" s="6">
        <v>0.28000000000000003</v>
      </c>
      <c r="E12" s="6">
        <v>0.4</v>
      </c>
      <c r="F12" s="6">
        <v>0.5</v>
      </c>
      <c r="G12" s="6">
        <f>0.25*-0.85</f>
        <v>-0.21249999999999999</v>
      </c>
      <c r="H12" s="6"/>
      <c r="I12">
        <f t="shared" si="0"/>
        <v>-2.9324999999999974</v>
      </c>
      <c r="J12" s="26" t="s">
        <v>96</v>
      </c>
      <c r="K12">
        <v>0</v>
      </c>
    </row>
    <row r="13" spans="1:11" x14ac:dyDescent="0.25">
      <c r="B13" t="s">
        <v>100</v>
      </c>
      <c r="C13" s="6">
        <v>0</v>
      </c>
      <c r="D13" s="6">
        <v>0</v>
      </c>
      <c r="E13" s="6">
        <v>0</v>
      </c>
      <c r="F13" s="6">
        <v>0</v>
      </c>
      <c r="G13" s="6">
        <v>1</v>
      </c>
      <c r="I13">
        <f t="shared" si="0"/>
        <v>265</v>
      </c>
      <c r="J13" s="26" t="s">
        <v>96</v>
      </c>
      <c r="K13">
        <v>300</v>
      </c>
    </row>
    <row r="14" spans="1:11" x14ac:dyDescent="0.25">
      <c r="B14" t="s">
        <v>101</v>
      </c>
      <c r="C14" s="6">
        <f>+(-0.25)*0.18</f>
        <v>-4.4999999999999998E-2</v>
      </c>
      <c r="D14" s="6">
        <f>+(-0.25)*0.28</f>
        <v>-7.0000000000000007E-2</v>
      </c>
      <c r="E14" s="6">
        <f>0.4+((-0.25)*0.4)</f>
        <v>0.30000000000000004</v>
      </c>
      <c r="F14" s="6">
        <f>0.5+((-0.25)*0.5)</f>
        <v>0.375</v>
      </c>
      <c r="G14" s="6">
        <v>0</v>
      </c>
      <c r="I14">
        <f t="shared" si="0"/>
        <v>5.4999999999999716E-2</v>
      </c>
      <c r="J14" s="26" t="s">
        <v>8</v>
      </c>
      <c r="K14">
        <v>0</v>
      </c>
    </row>
    <row r="15" spans="1:11" x14ac:dyDescent="0.25">
      <c r="B15" t="s">
        <v>102</v>
      </c>
      <c r="C15" s="6">
        <f>1-0.2</f>
        <v>0.8</v>
      </c>
      <c r="D15" s="6">
        <v>-0.2</v>
      </c>
      <c r="E15" s="6">
        <v>-0.2</v>
      </c>
      <c r="F15" s="6">
        <v>-0.2</v>
      </c>
      <c r="G15" s="6">
        <v>0</v>
      </c>
      <c r="I15">
        <f t="shared" si="0"/>
        <v>0.40000000000000036</v>
      </c>
      <c r="J15" s="26" t="s">
        <v>8</v>
      </c>
      <c r="K15">
        <v>0</v>
      </c>
    </row>
    <row r="16" spans="1:11" x14ac:dyDescent="0.25">
      <c r="B16" t="s">
        <v>103</v>
      </c>
      <c r="C16" s="6">
        <f>0.18*-0.1</f>
        <v>-1.7999999999999999E-2</v>
      </c>
      <c r="D16" s="6">
        <f>0.28-(0.28*0.1)</f>
        <v>0.252</v>
      </c>
      <c r="E16" s="26">
        <f>+-0.1*0.4</f>
        <v>-4.0000000000000008E-2</v>
      </c>
      <c r="F16" s="26">
        <f>+-0.1*0.5</f>
        <v>-0.05</v>
      </c>
      <c r="G16" s="6">
        <v>0</v>
      </c>
      <c r="I16">
        <f t="shared" si="0"/>
        <v>27.981999999999999</v>
      </c>
      <c r="J16" s="26" t="s">
        <v>8</v>
      </c>
      <c r="K16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Ejercicio_1</vt:lpstr>
      <vt:lpstr>Ejercicio_2</vt:lpstr>
      <vt:lpstr>Ejercicio_3</vt:lpstr>
      <vt:lpstr>Ejercicio_4</vt:lpstr>
      <vt:lpstr>Ejercicio_5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Valentina Giraldo Gaviria</dc:creator>
  <cp:keywords/>
  <dc:description/>
  <cp:lastModifiedBy>Valentina Giraldo Gaviria</cp:lastModifiedBy>
  <cp:revision/>
  <dcterms:created xsi:type="dcterms:W3CDTF">2015-06-05T18:19:34Z</dcterms:created>
  <dcterms:modified xsi:type="dcterms:W3CDTF">2026-05-23T01:30:44Z</dcterms:modified>
  <cp:category/>
  <cp:contentStatus/>
</cp:coreProperties>
</file>